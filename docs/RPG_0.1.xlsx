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Sonstiges\3D RPG\game\docs\"/>
    </mc:Choice>
  </mc:AlternateContent>
  <xr:revisionPtr revIDLastSave="0" documentId="13_ncr:1_{1CB53BD8-E3BB-4CD1-BDA9-EA67D40E6557}" xr6:coauthVersionLast="47" xr6:coauthVersionMax="47" xr10:uidLastSave="{00000000-0000-0000-0000-000000000000}"/>
  <bookViews>
    <workbookView xWindow="-120" yWindow="-120" windowWidth="38640" windowHeight="15720" xr2:uid="{4BE2A854-3C52-4E67-A093-93255C02F786}"/>
  </bookViews>
  <sheets>
    <sheet name="Monster" sheetId="2" r:id="rId1"/>
    <sheet name="Tabelle5" sheetId="7" r:id="rId2"/>
    <sheet name="golden_rules"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 i="2" l="1"/>
  <c r="AM3" i="2"/>
  <c r="Y3" i="2" s="1"/>
  <c r="AM4" i="2"/>
  <c r="Y4" i="2" s="1"/>
  <c r="AM5" i="2"/>
  <c r="AM6" i="2"/>
  <c r="AM7" i="2"/>
  <c r="AM8" i="2"/>
  <c r="AM9" i="2"/>
  <c r="Y9" i="2" s="1"/>
  <c r="AM10" i="2"/>
  <c r="AM11" i="2"/>
  <c r="AM12" i="2"/>
  <c r="Y12" i="2" s="1"/>
  <c r="AM13" i="2"/>
  <c r="AM14" i="2"/>
  <c r="AM15" i="2"/>
  <c r="Y15" i="2" s="1"/>
  <c r="AM16" i="2"/>
  <c r="Y16" i="2" s="1"/>
  <c r="AM17" i="2"/>
  <c r="AM18" i="2"/>
  <c r="AM19" i="2"/>
  <c r="Y19" i="2" s="1"/>
  <c r="AM20" i="2"/>
  <c r="Y20" i="2" s="1"/>
  <c r="AM21" i="2"/>
  <c r="AM22" i="2"/>
  <c r="AM24" i="2"/>
  <c r="Y24" i="2" s="1"/>
  <c r="AM23" i="2"/>
  <c r="AM25" i="2"/>
  <c r="AM26" i="2"/>
  <c r="AM28" i="2"/>
  <c r="AM27" i="2"/>
  <c r="AM30" i="2"/>
  <c r="AM29" i="2"/>
  <c r="AM31" i="2"/>
  <c r="Y31" i="2" s="1"/>
  <c r="AM32" i="2"/>
  <c r="AM33" i="2"/>
  <c r="AM34" i="2"/>
  <c r="AM35" i="2"/>
  <c r="AM36" i="2"/>
  <c r="AM37" i="2"/>
  <c r="AM43" i="2"/>
  <c r="AM40" i="2"/>
  <c r="AM39" i="2"/>
  <c r="AM38" i="2"/>
  <c r="AM41" i="2"/>
  <c r="AM42" i="2"/>
  <c r="AM44" i="2"/>
  <c r="Y44" i="2" s="1"/>
  <c r="AM47" i="2"/>
  <c r="Y47" i="2" s="1"/>
  <c r="AM53" i="2"/>
  <c r="AM45" i="2"/>
  <c r="Y45" i="2" s="1"/>
  <c r="AM49" i="2"/>
  <c r="AM46" i="2"/>
  <c r="AM48" i="2"/>
  <c r="AM50" i="2"/>
  <c r="AM51" i="2"/>
  <c r="AM52" i="2"/>
  <c r="AM55" i="2"/>
  <c r="AM54" i="2"/>
  <c r="AM59" i="2"/>
  <c r="AM56" i="2"/>
  <c r="AM57" i="2"/>
  <c r="AM58" i="2"/>
  <c r="AM60" i="2"/>
  <c r="AM62" i="2"/>
  <c r="AM61" i="2"/>
  <c r="AM64" i="2"/>
  <c r="AM63" i="2"/>
  <c r="AM65" i="2"/>
  <c r="AM66" i="2"/>
  <c r="AM67" i="2"/>
  <c r="AM68" i="2"/>
  <c r="AM69" i="2"/>
  <c r="AM70" i="2"/>
  <c r="AM71" i="2"/>
  <c r="AM72" i="2"/>
  <c r="AM74" i="2"/>
  <c r="AM73" i="2"/>
  <c r="AM76" i="2"/>
  <c r="AM75" i="2"/>
  <c r="AM77" i="2"/>
  <c r="AM78" i="2"/>
  <c r="AM79" i="2"/>
  <c r="AM80" i="2"/>
  <c r="AM81" i="2"/>
  <c r="AM82" i="2"/>
  <c r="AM83" i="2"/>
  <c r="AM84" i="2"/>
  <c r="AM85" i="2"/>
  <c r="AM86" i="2"/>
  <c r="AM87" i="2"/>
  <c r="AM88" i="2"/>
  <c r="AM89" i="2"/>
  <c r="AM90" i="2"/>
  <c r="AM91" i="2"/>
  <c r="AM92" i="2"/>
  <c r="Y5" i="2"/>
  <c r="Y21" i="2"/>
  <c r="Y26" i="2"/>
  <c r="Y37" i="2"/>
  <c r="Y39" i="2"/>
  <c r="Y48" i="2"/>
  <c r="Y52" i="2"/>
  <c r="Y7" i="2" l="1"/>
</calcChain>
</file>

<file path=xl/sharedStrings.xml><?xml version="1.0" encoding="utf-8"?>
<sst xmlns="http://schemas.openxmlformats.org/spreadsheetml/2006/main" count="616" uniqueCount="165">
  <si>
    <t>False</t>
  </si>
  <si>
    <t>land</t>
  </si>
  <si>
    <t/>
  </si>
  <si>
    <t>Physical</t>
  </si>
  <si>
    <t>Minotaur King</t>
  </si>
  <si>
    <t>Great Hydra</t>
  </si>
  <si>
    <t>Magic</t>
  </si>
  <si>
    <t>Terminator</t>
  </si>
  <si>
    <t>water</t>
  </si>
  <si>
    <t>Octobeast</t>
  </si>
  <si>
    <t>Minotaur</t>
  </si>
  <si>
    <t>Medusa</t>
  </si>
  <si>
    <t>Vulture Roc</t>
  </si>
  <si>
    <t>Kudo crab</t>
  </si>
  <si>
    <t>Fire</t>
  </si>
  <si>
    <t>Dragon Lord</t>
  </si>
  <si>
    <t>Cold</t>
  </si>
  <si>
    <t>Green Dragon</t>
  </si>
  <si>
    <t>True</t>
  </si>
  <si>
    <t>Vampire King</t>
  </si>
  <si>
    <t>Top Jouster</t>
  </si>
  <si>
    <t>Cyclops King</t>
  </si>
  <si>
    <t>Titanic Automato</t>
  </si>
  <si>
    <t>Mummy King</t>
  </si>
  <si>
    <t>Vampire</t>
  </si>
  <si>
    <t>Major Devil</t>
  </si>
  <si>
    <t>Wizard</t>
  </si>
  <si>
    <t>Jouster</t>
  </si>
  <si>
    <t>Werewolf</t>
  </si>
  <si>
    <t>Poison</t>
  </si>
  <si>
    <t>Dragon Worm</t>
  </si>
  <si>
    <t>Death Snake</t>
  </si>
  <si>
    <t>Cyclops</t>
  </si>
  <si>
    <t>Eye Master</t>
  </si>
  <si>
    <t>Priest of Moo</t>
  </si>
  <si>
    <t>Mummy</t>
  </si>
  <si>
    <t>Lich</t>
  </si>
  <si>
    <t>ED-409</t>
  </si>
  <si>
    <t>Moo Master</t>
  </si>
  <si>
    <t>Major Demon</t>
  </si>
  <si>
    <t>Paladin</t>
  </si>
  <si>
    <t>Black Knight</t>
  </si>
  <si>
    <t>Toxic worm</t>
  </si>
  <si>
    <t>Dinosaur</t>
  </si>
  <si>
    <t>Death Agent</t>
  </si>
  <si>
    <t>Spirit Shield</t>
  </si>
  <si>
    <t>Evil Eye</t>
  </si>
  <si>
    <t>Troll</t>
  </si>
  <si>
    <t>Sorcerer</t>
  </si>
  <si>
    <t>Reaper</t>
  </si>
  <si>
    <t>Guardian</t>
  </si>
  <si>
    <t>Dark Pegasus</t>
  </si>
  <si>
    <t>Ghost</t>
  </si>
  <si>
    <t>Cleric of Moo</t>
  </si>
  <si>
    <t>Cult Leader</t>
  </si>
  <si>
    <t>Mystic cloud</t>
  </si>
  <si>
    <t>Gargoyle</t>
  </si>
  <si>
    <t>Fire Stalker</t>
  </si>
  <si>
    <t>Iron Wizard</t>
  </si>
  <si>
    <t>Fire Lizard</t>
  </si>
  <si>
    <t>Barbarian</t>
  </si>
  <si>
    <t>Sonic Ninja</t>
  </si>
  <si>
    <t>Draconi</t>
  </si>
  <si>
    <t>Archer</t>
  </si>
  <si>
    <t>Mini Dragon</t>
  </si>
  <si>
    <t>Wicked Witch</t>
  </si>
  <si>
    <t>Tree golem</t>
  </si>
  <si>
    <t>Phantom</t>
  </si>
  <si>
    <t>Ghoul</t>
  </si>
  <si>
    <t>Death Locust</t>
  </si>
  <si>
    <t>Shadow Rogue</t>
  </si>
  <si>
    <t>Evil Ranger</t>
  </si>
  <si>
    <t>Piranha</t>
  </si>
  <si>
    <t>Castle Guard</t>
  </si>
  <si>
    <t>Carnage Hand</t>
  </si>
  <si>
    <t>Rat Overlord</t>
  </si>
  <si>
    <t>Plasmoid</t>
  </si>
  <si>
    <t>Cryo Spore</t>
  </si>
  <si>
    <t>Scorpia</t>
  </si>
  <si>
    <t>Phase Head</t>
  </si>
  <si>
    <t>Dino Beetle</t>
  </si>
  <si>
    <t>Cobra Fiend</t>
  </si>
  <si>
    <t>Bugaboo</t>
  </si>
  <si>
    <t>Magic Mantis</t>
  </si>
  <si>
    <t>Cursed Fool</t>
  </si>
  <si>
    <t>Ninja</t>
  </si>
  <si>
    <t>Giant Spider</t>
  </si>
  <si>
    <t>Candle Creep</t>
  </si>
  <si>
    <t>Sprite</t>
  </si>
  <si>
    <t>Ogre</t>
  </si>
  <si>
    <t>Mad Dwarf</t>
  </si>
  <si>
    <t>Wild Fungus</t>
  </si>
  <si>
    <t>Zombie</t>
  </si>
  <si>
    <t>Screamer</t>
  </si>
  <si>
    <t>Moose Rat</t>
  </si>
  <si>
    <t>Skeleton</t>
  </si>
  <si>
    <t>Oh No Bug</t>
  </si>
  <si>
    <t>Orc Warrior</t>
  </si>
  <si>
    <t>Goblin</t>
  </si>
  <si>
    <t>Vampire Bat</t>
  </si>
  <si>
    <t>Bubble Man</t>
  </si>
  <si>
    <t>entity 20:
undead</t>
  </si>
  <si>
    <t>entity 19:
terrain</t>
  </si>
  <si>
    <t>entity 18:
icon_height</t>
  </si>
  <si>
    <t>entity 16:
gold</t>
  </si>
  <si>
    <t>entity 14:
res_poison</t>
  </si>
  <si>
    <t>entity 13:
res_cold</t>
  </si>
  <si>
    <t>entity 12:
res_physical</t>
  </si>
  <si>
    <t>entity 11:
res_fire</t>
  </si>
  <si>
    <t>entity 10:
res_magic</t>
  </si>
  <si>
    <t>entity 7:
attack_type</t>
  </si>
  <si>
    <t>entity 6:
damage_max</t>
  </si>
  <si>
    <t>entity 5:
damage_min</t>
  </si>
  <si>
    <t>entity 3:
speed</t>
  </si>
  <si>
    <t>entity 2:
armor</t>
  </si>
  <si>
    <t>entity 1:
health</t>
  </si>
  <si>
    <t>entity 0:
name</t>
  </si>
  <si>
    <t>ID</t>
  </si>
  <si>
    <t>entity 21:
final_boss</t>
  </si>
  <si>
    <t>Boss for ID45</t>
  </si>
  <si>
    <t>Boss for ID33</t>
  </si>
  <si>
    <t>Boss for ID73</t>
  </si>
  <si>
    <t>Boss for ID13</t>
  </si>
  <si>
    <t>Boss for ID47</t>
  </si>
  <si>
    <t>entity 22: group</t>
  </si>
  <si>
    <t>beast</t>
  </si>
  <si>
    <t>plant</t>
  </si>
  <si>
    <t>magical_construct</t>
  </si>
  <si>
    <t>monster_humanoid</t>
  </si>
  <si>
    <t>undead</t>
  </si>
  <si>
    <t>humanoid</t>
  </si>
  <si>
    <t>Boss for ID46</t>
  </si>
  <si>
    <t>robot</t>
  </si>
  <si>
    <t>x</t>
  </si>
  <si>
    <t>entity 8a: 
ranged attack</t>
  </si>
  <si>
    <t>entity 8b: 
hits_all_characters_at_once</t>
  </si>
  <si>
    <t>entity 8c: 
causes_status_poisoned</t>
  </si>
  <si>
    <t>entity 8i: 
causes_status_petrified</t>
  </si>
  <si>
    <t>entity 8h: 
causes_status_weakness</t>
  </si>
  <si>
    <t>entity 8g: 
causes_status_disease</t>
  </si>
  <si>
    <t>entity 8f: 
causes_status_Insanity</t>
  </si>
  <si>
    <t>entity 8e: 
causes_status_sleep</t>
  </si>
  <si>
    <t>entity 8d: 
causes_status_cursed</t>
  </si>
  <si>
    <t>entity 8i: 
causes_status_death</t>
  </si>
  <si>
    <t>entity 8j: 
causes_status_paralysis</t>
  </si>
  <si>
    <t>entity 8k: 
causes_status_eradication</t>
  </si>
  <si>
    <t>entity 8l: 
regeneration_per_turn_in_percent_of total_life</t>
  </si>
  <si>
    <t>entity 8m: 
steal_mana_on_hit_in_percent_of_characters_max_mana</t>
  </si>
  <si>
    <t>entity 8n: 
increases_magical_age_by_1_year_on_hit</t>
  </si>
  <si>
    <t>world</t>
  </si>
  <si>
    <t>collect_and_return</t>
  </si>
  <si>
    <t>quest_area</t>
  </si>
  <si>
    <t>quest_type</t>
  </si>
  <si>
    <t>quest_description</t>
  </si>
  <si>
    <t xml:space="preserve">Es darf nur 3 Burgen im Spiel geben: gut, neutral, böse </t>
  </si>
  <si>
    <t>entity 24: treasure_level_new</t>
  </si>
  <si>
    <t>entity 9:
outside_spawner_hut_xp</t>
  </si>
  <si>
    <t>entity 23: XP_new (While entity 24 give a rough idea of where place the monsters, the XP is the fine tuning. start with the lowest XP and use higher XP monsters, the further the heroes are venturing out)</t>
  </si>
  <si>
    <t>entity 15:
exp_old (not used anymore)</t>
  </si>
  <si>
    <t>entity 17:
treasure_level_old (not used anymore)</t>
  </si>
  <si>
    <t>entity 4:
no_of_attacks (Melee only)</t>
  </si>
  <si>
    <t>Boss for ID10</t>
  </si>
  <si>
    <t>Boss for ID23</t>
  </si>
  <si>
    <t>Boss for ID59</t>
  </si>
  <si>
    <t>Boss for ID36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</si>
</sst>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2" fontId="0" fillId="0" borderId="0" xfId="0" applyNumberFormat="1"/>
    <xf numFmtId="0" fontId="0" fillId="0" borderId="0" xfId="0" applyAlignment="1">
      <alignment wrapText="1"/>
    </xf>
    <xf numFmtId="0" fontId="0" fillId="2" borderId="0" xfId="0" applyFill="1" applyAlignment="1">
      <alignment wrapText="1"/>
    </xf>
    <xf numFmtId="1" fontId="0" fillId="0" borderId="0" xfId="0" applyNumberFormat="1"/>
    <xf numFmtId="1" fontId="0" fillId="0" borderId="0" xfId="0" quotePrefix="1" applyNumberFormat="1"/>
    <xf numFmtId="0" fontId="0" fillId="3" borderId="0" xfId="0" applyFill="1" applyAlignment="1">
      <alignment wrapText="1"/>
    </xf>
    <xf numFmtId="1" fontId="0" fillId="0" borderId="0" xfId="0" applyNumberFormat="1" applyAlignment="1">
      <alignment wrapText="1"/>
    </xf>
    <xf numFmtId="3" fontId="0" fillId="0" borderId="0" xfId="0" applyNumberFormat="1" applyAlignment="1">
      <alignment horizontal="right" wrapText="1"/>
    </xf>
    <xf numFmtId="3" fontId="0" fillId="0" borderId="0" xfId="0" applyNumberFormat="1" applyAlignment="1">
      <alignment horizontal="right"/>
    </xf>
  </cellXfs>
  <cellStyles count="1">
    <cellStyle name="Standard" xfId="0" builtinId="0"/>
  </cellStyles>
  <dxfs count="10">
    <dxf>
      <fill>
        <patternFill>
          <bgColor theme="4" tint="0.59996337778862885"/>
        </patternFill>
      </fill>
    </dxf>
    <dxf>
      <numFmt numFmtId="1" formatCode="0"/>
    </dxf>
    <dxf>
      <numFmt numFmtId="0" formatCode="General"/>
    </dxf>
    <dxf>
      <numFmt numFmtId="164" formatCode="0.0"/>
    </dxf>
    <dxf>
      <numFmt numFmtId="0" formatCode="General"/>
    </dxf>
    <dxf>
      <numFmt numFmtId="3" formatCode="#,##0"/>
      <alignment horizontal="right" vertical="bottom" textRotation="0" indent="0" justifyLastLine="0" shrinkToFit="0" readingOrder="0"/>
    </dxf>
    <dxf>
      <numFmt numFmtId="0" formatCode="General"/>
    </dxf>
    <dxf>
      <numFmt numFmtId="0" formatCode="General"/>
    </dxf>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0D8A91-E0CE-4C15-A63B-1C55C33A6140}" name="_csv247" displayName="_csv247" ref="A1:AN92" totalsRowShown="0" headerRowDxfId="9">
  <autoFilter ref="A1:AN92" xr:uid="{4F99A048-8AA6-4189-B2E2-F108A96BB99C}"/>
  <sortState xmlns:xlrd2="http://schemas.microsoft.com/office/spreadsheetml/2017/richdata2" ref="A2:AN92">
    <sortCondition ref="AM1:AM92"/>
  </sortState>
  <tableColumns count="40">
    <tableColumn id="1" xr3:uid="{881067C4-F102-4BAF-8FEB-F081B637E7C9}" name="ID" dataDxfId="8"/>
    <tableColumn id="21" xr3:uid="{5CB2E5FB-D646-4A47-B48A-48F4E900E944}" name="entity 0:_x000a_name" dataDxfId="7"/>
    <tableColumn id="2" xr3:uid="{B3453128-B92B-4DFE-A3A7-0792C25E7A14}" name="entity 1:_x000a_health"/>
    <tableColumn id="3" xr3:uid="{E0F364BE-C9D7-421D-8D53-CCF2EE2C58E0}" name="entity 2:_x000a_armor"/>
    <tableColumn id="4" xr3:uid="{661EC57C-D67C-4DE9-9867-BFD0620183A3}" name="entity 3:_x000a_speed"/>
    <tableColumn id="5" xr3:uid="{F552EB56-3980-4FA8-B694-808465E6DD8A}" name="entity 4:_x000a_no_of_attacks (Melee only)"/>
    <tableColumn id="22" xr3:uid="{0487C91F-9C2F-4E75-892B-F0DCAB8F7E1A}" name="entity 5:_x000a_damage_min"/>
    <tableColumn id="23" xr3:uid="{A62A4E70-3628-41B1-8FE3-377B36336BF4}" name="entity 6:_x000a_damage_max"/>
    <tableColumn id="8" xr3:uid="{B2A15422-B7F1-4B55-BD0E-2C4DDBFFC1ED}" name="entity 7:_x000a_attack_type" dataDxfId="6"/>
    <tableColumn id="26" xr3:uid="{574C8C33-5E35-4BB7-B93B-BCCC4F5A8F24}" name="entity 8a: _x000a_ranged attack"/>
    <tableColumn id="29" xr3:uid="{C620C28C-7B65-4C2A-A955-6EF0FC88408A}" name="entity 8b: _x000a_hits_all_characters_at_once"/>
    <tableColumn id="28" xr3:uid="{67DC7C28-804E-4553-A851-3EB02D5073BD}" name="entity 8c: _x000a_causes_status_poisoned"/>
    <tableColumn id="30" xr3:uid="{19245E70-211E-40FA-B873-53571141EBAF}" name="entity 8d: _x000a_causes_status_cursed"/>
    <tableColumn id="31" xr3:uid="{B3CD832C-F80F-4546-91A7-B08B81C7D96E}" name="entity 8e: _x000a_causes_status_sleep"/>
    <tableColumn id="32" xr3:uid="{F9711917-E4CF-43A8-930B-C01AB73EA00B}" name="entity 8f: _x000a_causes_status_Insanity"/>
    <tableColumn id="33" xr3:uid="{B8D01434-5F63-4134-AB0A-9AD314D9820E}" name="entity 8g: _x000a_causes_status_disease"/>
    <tableColumn id="34" xr3:uid="{75734705-5465-4A6A-925A-9AE6CFB883FF}" name="entity 8h: _x000a_causes_status_weakness"/>
    <tableColumn id="35" xr3:uid="{34BCE90B-24FE-4A53-BA70-37015CF3812D}" name="entity 8i: _x000a_causes_status_petrified"/>
    <tableColumn id="36" xr3:uid="{989D0151-AAD5-4A74-A14B-FE28EDD4EA99}" name="entity 8i: _x000a_causes_status_death"/>
    <tableColumn id="37" xr3:uid="{0ADD17D1-2A0D-4C8B-A219-649B247677C1}" name="entity 8j: _x000a_causes_status_paralysis"/>
    <tableColumn id="38" xr3:uid="{2AD5B142-3988-4B3E-A10C-7B12F2FEA4AC}" name="entity 8k: _x000a_causes_status_eradication"/>
    <tableColumn id="39" xr3:uid="{FE9BCC63-A58F-4EE4-AEF0-714F5229CD56}" name="entity 8l: _x000a_regeneration_per_turn_in_percent_of total_life"/>
    <tableColumn id="40" xr3:uid="{20EFEFED-5BC7-4680-8D94-F0FFDF66C696}" name="entity 8m: _x000a_steal_mana_on_hit_in_percent_of_characters_max_mana"/>
    <tableColumn id="41" xr3:uid="{6B83D3CE-7E9F-4FEC-A9B7-E09FF7C7DABE}" name="entity 8n: _x000a_increases_magical_age_by_1_year_on_hit"/>
    <tableColumn id="10" xr3:uid="{657AB867-1E43-41EC-95BE-4DF86DC71643}" name="entity 9:_x000a_outside_spawner_hut_xp" dataDxfId="5"/>
    <tableColumn id="11" xr3:uid="{C864C4B0-6F86-4266-84B7-0009F0740F0B}" name="entity 10:_x000a_res_magic"/>
    <tableColumn id="12" xr3:uid="{4DE80521-738A-490D-8660-B2E4BE035E51}" name="entity 11:_x000a_res_fire"/>
    <tableColumn id="13" xr3:uid="{FEFD4387-19A1-41A1-9279-3622879EEEF7}" name="entity 12:_x000a_res_physical"/>
    <tableColumn id="15" xr3:uid="{9D486DD9-3A76-4B9D-A48E-45B8AC5A9204}" name="entity 13:_x000a_res_cold"/>
    <tableColumn id="16" xr3:uid="{674684F8-3D91-4BFB-A915-BAFCD2C82B25}" name="entity 14:_x000a_res_poison"/>
    <tableColumn id="18" xr3:uid="{4F25CA0D-398A-4ADE-B1B4-5F0BB7C038DA}" name="entity 15:_x000a_exp_old (not used anymore)"/>
    <tableColumn id="27" xr3:uid="{BB0197D4-3C5C-4D64-BB3F-0966359DE0DF}" name="entity 16:_x000a_gold" dataDxfId="4"/>
    <tableColumn id="25" xr3:uid="{ED29C8D4-1AB4-48DC-AD5F-5B5BCA75AC90}" name="entity 17:_x000a_treasure_level_old (not used anymore)"/>
    <tableColumn id="6" xr3:uid="{306F37DE-3F0E-4874-9CA6-CA8E4537DAC0}" name="entity 18:_x000a_icon_height" dataDxfId="3"/>
    <tableColumn id="7" xr3:uid="{06CC750E-0BC9-4044-ADAB-702E10B69198}" name="entity 19:_x000a_terrain"/>
    <tableColumn id="14" xr3:uid="{10A0D880-46D4-4EF1-9E97-94B8F7FF7F8A}" name="entity 20:_x000a_undead"/>
    <tableColumn id="17" xr3:uid="{5C125C46-427D-41B4-A8E2-C627B813F7BF}" name="entity 21:_x000a_final_boss"/>
    <tableColumn id="19" xr3:uid="{0A20AB78-3403-450A-92F0-E11B2C907395}" name="entity 22: group"/>
    <tableColumn id="9" xr3:uid="{4D1BFE81-E36F-433A-9F94-15DAEEA44F00}" name="entity 23: XP_new (While entity 24 give a rough idea of where place the monsters, the XP is the fine tuning. start with the lowest XP and use higher XP monsters, the further the heroes are venturing out)" dataDxfId="1">
      <calculatedColumnFormula>(_csv247[[#This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causes_status_weakness]])*100+COUNTA(R2,T2)*5000+COUNTA(_csv247[[#This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calculatedColumnFormula>
    </tableColumn>
    <tableColumn id="20" xr3:uid="{8A88862A-3CB6-4053-9301-EB3CFDFFA903}" name="entity 24: treasure_level_new" dataDxfId="2"/>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FB54-F59A-4223-B5F2-4475F5CF4B6B}">
  <sheetPr>
    <tabColor theme="9"/>
  </sheetPr>
  <dimension ref="A1:AN92"/>
  <sheetViews>
    <sheetView tabSelected="1" topLeftCell="A67" workbookViewId="0">
      <selection activeCell="A74" sqref="A74"/>
    </sheetView>
  </sheetViews>
  <sheetFormatPr baseColWidth="10" defaultRowHeight="15" outlineLevelCol="1" x14ac:dyDescent="0.25"/>
  <cols>
    <col min="1" max="1" width="5.140625" bestFit="1" customWidth="1"/>
    <col min="2" max="2" width="14" customWidth="1"/>
    <col min="3" max="5" width="10.5703125" bestFit="1" customWidth="1"/>
    <col min="6" max="6" width="15.5703125" bestFit="1" customWidth="1"/>
    <col min="7" max="7" width="14.7109375" bestFit="1" customWidth="1"/>
    <col min="8" max="8" width="15" bestFit="1" customWidth="1"/>
    <col min="9" max="9" width="13.5703125" bestFit="1" customWidth="1"/>
    <col min="10" max="10" width="17" customWidth="1" outlineLevel="1"/>
    <col min="11" max="24" width="13" customWidth="1" outlineLevel="1"/>
    <col min="25" max="25" width="28" style="10" bestFit="1" customWidth="1"/>
    <col min="26" max="26" width="12.140625" bestFit="1" customWidth="1"/>
    <col min="27" max="27" width="11.5703125" bestFit="1" customWidth="1"/>
    <col min="28" max="28" width="14.140625" bestFit="1" customWidth="1"/>
    <col min="29" max="29" width="11.42578125" customWidth="1"/>
    <col min="30" max="30" width="13" customWidth="1"/>
    <col min="31" max="31" width="11.85546875" customWidth="1"/>
    <col min="32" max="32" width="13.5703125" customWidth="1"/>
    <col min="33" max="33" width="16.140625" bestFit="1" customWidth="1"/>
    <col min="34" max="34" width="13.7109375" bestFit="1" customWidth="1"/>
    <col min="38" max="38" width="18.5703125" bestFit="1" customWidth="1"/>
    <col min="39" max="39" width="11.42578125" style="5"/>
  </cols>
  <sheetData>
    <row r="1" spans="1:40" s="3" customFormat="1" ht="48.75" customHeight="1" x14ac:dyDescent="0.25">
      <c r="A1" s="3" t="s">
        <v>117</v>
      </c>
      <c r="B1" s="3" t="s">
        <v>116</v>
      </c>
      <c r="C1" s="3" t="s">
        <v>115</v>
      </c>
      <c r="D1" s="3" t="s">
        <v>114</v>
      </c>
      <c r="E1" s="3" t="s">
        <v>113</v>
      </c>
      <c r="F1" s="3" t="s">
        <v>160</v>
      </c>
      <c r="G1" s="4" t="s">
        <v>112</v>
      </c>
      <c r="H1" s="4" t="s">
        <v>111</v>
      </c>
      <c r="I1" s="4" t="s">
        <v>110</v>
      </c>
      <c r="J1" s="3" t="s">
        <v>134</v>
      </c>
      <c r="K1" s="3" t="s">
        <v>135</v>
      </c>
      <c r="L1" s="3" t="s">
        <v>136</v>
      </c>
      <c r="M1" s="3" t="s">
        <v>142</v>
      </c>
      <c r="N1" s="3" t="s">
        <v>141</v>
      </c>
      <c r="O1" s="3" t="s">
        <v>140</v>
      </c>
      <c r="P1" s="3" t="s">
        <v>139</v>
      </c>
      <c r="Q1" s="3" t="s">
        <v>138</v>
      </c>
      <c r="R1" s="3" t="s">
        <v>137</v>
      </c>
      <c r="S1" s="3" t="s">
        <v>143</v>
      </c>
      <c r="T1" s="3" t="s">
        <v>144</v>
      </c>
      <c r="U1" s="3" t="s">
        <v>145</v>
      </c>
      <c r="V1" s="3" t="s">
        <v>146</v>
      </c>
      <c r="W1" s="3" t="s">
        <v>147</v>
      </c>
      <c r="X1" s="3" t="s">
        <v>148</v>
      </c>
      <c r="Y1" s="9" t="s">
        <v>156</v>
      </c>
      <c r="Z1" s="4" t="s">
        <v>109</v>
      </c>
      <c r="AA1" s="4" t="s">
        <v>108</v>
      </c>
      <c r="AB1" s="4" t="s">
        <v>107</v>
      </c>
      <c r="AC1" s="4" t="s">
        <v>106</v>
      </c>
      <c r="AD1" s="4" t="s">
        <v>105</v>
      </c>
      <c r="AE1" s="7" t="s">
        <v>158</v>
      </c>
      <c r="AF1" s="4" t="s">
        <v>104</v>
      </c>
      <c r="AG1" s="7" t="s">
        <v>159</v>
      </c>
      <c r="AH1" s="4" t="s">
        <v>103</v>
      </c>
      <c r="AI1" s="3" t="s">
        <v>102</v>
      </c>
      <c r="AJ1" s="3" t="s">
        <v>101</v>
      </c>
      <c r="AK1" s="3" t="s">
        <v>118</v>
      </c>
      <c r="AL1" s="3" t="s">
        <v>124</v>
      </c>
      <c r="AM1" s="8" t="s">
        <v>157</v>
      </c>
      <c r="AN1" s="3" t="s">
        <v>155</v>
      </c>
    </row>
    <row r="2" spans="1:40" x14ac:dyDescent="0.25">
      <c r="A2">
        <v>4</v>
      </c>
      <c r="B2" t="s">
        <v>100</v>
      </c>
      <c r="C2">
        <v>15</v>
      </c>
      <c r="D2">
        <v>0</v>
      </c>
      <c r="E2">
        <v>15</v>
      </c>
      <c r="F2">
        <v>1</v>
      </c>
      <c r="G2">
        <v>1</v>
      </c>
      <c r="H2">
        <v>6</v>
      </c>
      <c r="I2" t="s">
        <v>6</v>
      </c>
      <c r="J2" t="s">
        <v>133</v>
      </c>
      <c r="Y2" s="10" t="s">
        <v>2</v>
      </c>
      <c r="Z2" s="2">
        <v>0</v>
      </c>
      <c r="AA2" s="2">
        <v>0</v>
      </c>
      <c r="AB2" s="2">
        <v>0</v>
      </c>
      <c r="AC2" s="2">
        <v>0</v>
      </c>
      <c r="AD2" s="2">
        <v>0</v>
      </c>
      <c r="AE2">
        <v>250</v>
      </c>
      <c r="AF2">
        <v>0</v>
      </c>
      <c r="AG2">
        <v>1</v>
      </c>
      <c r="AH2" s="1">
        <v>3.5</v>
      </c>
      <c r="AI2" t="s">
        <v>1</v>
      </c>
      <c r="AJ2" t="s">
        <v>0</v>
      </c>
      <c r="AL2" t="s">
        <v>127</v>
      </c>
      <c r="AM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causes_status_weakness]])*100+COUNTA(R2,T2)*5000+COUNTA(_csv247[[#This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152.5</v>
      </c>
      <c r="AN2">
        <v>1</v>
      </c>
    </row>
    <row r="3" spans="1:40" x14ac:dyDescent="0.25">
      <c r="A3">
        <v>31</v>
      </c>
      <c r="B3" t="s">
        <v>98</v>
      </c>
      <c r="C3">
        <v>10</v>
      </c>
      <c r="D3">
        <v>0</v>
      </c>
      <c r="E3">
        <v>15</v>
      </c>
      <c r="F3">
        <v>1</v>
      </c>
      <c r="G3">
        <v>3</v>
      </c>
      <c r="H3">
        <v>9</v>
      </c>
      <c r="I3" t="s">
        <v>3</v>
      </c>
      <c r="J3" t="s">
        <v>133</v>
      </c>
      <c r="Y3" s="10">
        <f>_csv247[[#This Row],[entity 23: XP_new (While entity 24 give a rough idea of where place the monsters, the XP is the fine tuning. start with the lowest XP and use higher XP monsters, the further the heroes are venturing out)]]*13</f>
        <v>2470</v>
      </c>
      <c r="Z3" s="2">
        <v>0</v>
      </c>
      <c r="AA3" s="2">
        <v>0</v>
      </c>
      <c r="AB3" s="2">
        <v>0</v>
      </c>
      <c r="AC3" s="2">
        <v>0</v>
      </c>
      <c r="AD3" s="2">
        <v>0</v>
      </c>
      <c r="AE3">
        <v>400</v>
      </c>
      <c r="AF3">
        <v>10</v>
      </c>
      <c r="AG3">
        <v>1</v>
      </c>
      <c r="AH3" s="1">
        <v>3.5</v>
      </c>
      <c r="AI3" t="s">
        <v>1</v>
      </c>
      <c r="AJ3" t="s">
        <v>0</v>
      </c>
      <c r="AL3" t="s">
        <v>128</v>
      </c>
      <c r="AM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causes_status_weakness]])*100+COUNTA(R3,T3)*5000+COUNTA(_csv247[[#This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190</v>
      </c>
      <c r="AN3">
        <v>1</v>
      </c>
    </row>
    <row r="4" spans="1:40" x14ac:dyDescent="0.25">
      <c r="A4">
        <v>74</v>
      </c>
      <c r="B4" t="s">
        <v>99</v>
      </c>
      <c r="C4">
        <v>5</v>
      </c>
      <c r="D4">
        <v>5</v>
      </c>
      <c r="E4">
        <v>20</v>
      </c>
      <c r="F4">
        <v>2</v>
      </c>
      <c r="G4">
        <v>2</v>
      </c>
      <c r="H4">
        <v>4</v>
      </c>
      <c r="I4" t="s">
        <v>3</v>
      </c>
      <c r="L4" t="s">
        <v>133</v>
      </c>
      <c r="Y4" s="10">
        <f>_csv247[[#This Row],[entity 23: XP_new (While entity 24 give a rough idea of where place the monsters, the XP is the fine tuning. start with the lowest XP and use higher XP monsters, the further the heroes are venturing out)]]*13</f>
        <v>6110</v>
      </c>
      <c r="Z4" s="2">
        <v>0</v>
      </c>
      <c r="AA4" s="2">
        <v>0</v>
      </c>
      <c r="AB4" s="2">
        <v>0</v>
      </c>
      <c r="AC4" s="2">
        <v>0</v>
      </c>
      <c r="AD4" s="2">
        <v>0</v>
      </c>
      <c r="AE4">
        <v>250</v>
      </c>
      <c r="AF4">
        <v>0</v>
      </c>
      <c r="AG4">
        <v>1</v>
      </c>
      <c r="AH4" s="1">
        <v>3.5</v>
      </c>
      <c r="AI4" t="s">
        <v>1</v>
      </c>
      <c r="AJ4" t="s">
        <v>0</v>
      </c>
      <c r="AL4" t="s">
        <v>125</v>
      </c>
      <c r="AM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causes_status_weakness]])*100+COUNTA(R4,T4)*5000+COUNTA(_csv247[[#This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470</v>
      </c>
      <c r="AN4">
        <v>1</v>
      </c>
    </row>
    <row r="5" spans="1:40" x14ac:dyDescent="0.25">
      <c r="A5">
        <v>78</v>
      </c>
      <c r="B5" t="s">
        <v>91</v>
      </c>
      <c r="C5">
        <v>25</v>
      </c>
      <c r="D5">
        <v>0</v>
      </c>
      <c r="E5">
        <v>5</v>
      </c>
      <c r="F5">
        <v>1</v>
      </c>
      <c r="G5">
        <v>3</v>
      </c>
      <c r="H5">
        <v>12</v>
      </c>
      <c r="I5" t="s">
        <v>6</v>
      </c>
      <c r="K5" t="s">
        <v>133</v>
      </c>
      <c r="Y5" s="10">
        <f>_csv247[[#This Row],[entity 23: XP_new (While entity 24 give a rough idea of where place the monsters, the XP is the fine tuning. start with the lowest XP and use higher XP monsters, the further the heroes are venturing out)]]*13</f>
        <v>7475</v>
      </c>
      <c r="Z5" s="2">
        <v>0.25</v>
      </c>
      <c r="AA5" s="2">
        <v>0</v>
      </c>
      <c r="AB5" s="2">
        <v>0</v>
      </c>
      <c r="AC5" s="2">
        <v>1</v>
      </c>
      <c r="AD5" s="2">
        <v>0.5</v>
      </c>
      <c r="AE5">
        <v>2000</v>
      </c>
      <c r="AF5">
        <v>100</v>
      </c>
      <c r="AG5">
        <v>1</v>
      </c>
      <c r="AH5" s="1">
        <v>3.5</v>
      </c>
      <c r="AI5" t="s">
        <v>1</v>
      </c>
      <c r="AJ5" t="s">
        <v>0</v>
      </c>
      <c r="AL5" t="s">
        <v>126</v>
      </c>
      <c r="AM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causes_status_weakness]])*100+COUNTA(R5,T5)*5000+COUNTA(_csv247[[#This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575</v>
      </c>
      <c r="AN5">
        <v>1</v>
      </c>
    </row>
    <row r="6" spans="1:40" x14ac:dyDescent="0.25">
      <c r="A6">
        <v>64</v>
      </c>
      <c r="B6" t="s">
        <v>95</v>
      </c>
      <c r="C6">
        <v>20</v>
      </c>
      <c r="D6">
        <v>2</v>
      </c>
      <c r="E6">
        <v>18</v>
      </c>
      <c r="F6">
        <v>2</v>
      </c>
      <c r="G6">
        <v>2</v>
      </c>
      <c r="H6">
        <v>12</v>
      </c>
      <c r="I6" t="s">
        <v>3</v>
      </c>
      <c r="Y6" s="10" t="s">
        <v>133</v>
      </c>
      <c r="Z6" s="2">
        <v>0.17</v>
      </c>
      <c r="AA6" s="2">
        <v>0.5</v>
      </c>
      <c r="AB6" s="2">
        <v>0.8</v>
      </c>
      <c r="AC6" s="2">
        <v>0.5</v>
      </c>
      <c r="AD6" s="2">
        <v>0</v>
      </c>
      <c r="AE6">
        <v>1000</v>
      </c>
      <c r="AF6">
        <v>50</v>
      </c>
      <c r="AG6">
        <v>1</v>
      </c>
      <c r="AH6" s="1">
        <v>3.5</v>
      </c>
      <c r="AI6" t="s">
        <v>1</v>
      </c>
      <c r="AJ6" t="s">
        <v>18</v>
      </c>
      <c r="AL6" t="s">
        <v>129</v>
      </c>
      <c r="AM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causes_status_weakness]])*100+COUNTA(R6,T6)*5000+COUNTA(_csv247[[#This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1046</v>
      </c>
      <c r="AN6">
        <v>1</v>
      </c>
    </row>
    <row r="7" spans="1:40" x14ac:dyDescent="0.25">
      <c r="A7">
        <v>62</v>
      </c>
      <c r="B7" t="s">
        <v>93</v>
      </c>
      <c r="C7">
        <v>10</v>
      </c>
      <c r="D7">
        <v>10</v>
      </c>
      <c r="E7">
        <v>25</v>
      </c>
      <c r="F7">
        <v>1</v>
      </c>
      <c r="G7">
        <v>2</v>
      </c>
      <c r="H7">
        <v>8</v>
      </c>
      <c r="I7" t="s">
        <v>6</v>
      </c>
      <c r="O7" t="s">
        <v>133</v>
      </c>
      <c r="Y7" s="10">
        <f>_csv247[[#This Row],[entity 23: XP_new (While entity 24 give a rough idea of where place the monsters, the XP is the fine tuning. start with the lowest XP and use higher XP monsters, the further the heroes are venturing out)]]*13</f>
        <v>16354</v>
      </c>
      <c r="Z7" s="2">
        <v>0.33</v>
      </c>
      <c r="AA7" s="2">
        <v>0</v>
      </c>
      <c r="AB7" s="2">
        <v>0</v>
      </c>
      <c r="AC7" s="2">
        <v>0</v>
      </c>
      <c r="AD7" s="2">
        <v>0</v>
      </c>
      <c r="AE7">
        <v>1750</v>
      </c>
      <c r="AF7">
        <v>50</v>
      </c>
      <c r="AG7">
        <v>1</v>
      </c>
      <c r="AH7" s="1">
        <v>3.5</v>
      </c>
      <c r="AI7" t="s">
        <v>1</v>
      </c>
      <c r="AJ7" t="s">
        <v>0</v>
      </c>
      <c r="AL7" t="s">
        <v>127</v>
      </c>
      <c r="AM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causes_status_weakness]])*100+COUNTA(R7,T7)*5000+COUNTA(_csv247[[#This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1258</v>
      </c>
      <c r="AN7">
        <v>1</v>
      </c>
    </row>
    <row r="8" spans="1:40" x14ac:dyDescent="0.25">
      <c r="A8">
        <v>80</v>
      </c>
      <c r="B8" t="s">
        <v>92</v>
      </c>
      <c r="C8">
        <v>35</v>
      </c>
      <c r="D8">
        <v>2</v>
      </c>
      <c r="E8">
        <v>2</v>
      </c>
      <c r="F8">
        <v>2</v>
      </c>
      <c r="G8">
        <v>3</v>
      </c>
      <c r="H8">
        <v>18</v>
      </c>
      <c r="I8" t="s">
        <v>3</v>
      </c>
      <c r="P8" t="s">
        <v>133</v>
      </c>
      <c r="Y8" s="10" t="s">
        <v>133</v>
      </c>
      <c r="Z8" s="2">
        <v>0.25</v>
      </c>
      <c r="AA8" s="2">
        <v>0</v>
      </c>
      <c r="AB8" s="2">
        <v>0.8</v>
      </c>
      <c r="AC8" s="2">
        <v>0.75</v>
      </c>
      <c r="AD8" s="2">
        <v>0</v>
      </c>
      <c r="AE8">
        <v>1800</v>
      </c>
      <c r="AF8">
        <v>60</v>
      </c>
      <c r="AG8">
        <v>1</v>
      </c>
      <c r="AH8" s="1">
        <v>3.5</v>
      </c>
      <c r="AI8" t="s">
        <v>1</v>
      </c>
      <c r="AJ8" t="s">
        <v>18</v>
      </c>
      <c r="AL8" t="s">
        <v>129</v>
      </c>
      <c r="AM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causes_status_weakness]])*100+COUNTA(R8,T8)*5000+COUNTA(_csv247[[#This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1472</v>
      </c>
      <c r="AN8">
        <v>1</v>
      </c>
    </row>
    <row r="9" spans="1:40" x14ac:dyDescent="0.25">
      <c r="A9">
        <v>53</v>
      </c>
      <c r="B9" t="s">
        <v>97</v>
      </c>
      <c r="C9">
        <v>25</v>
      </c>
      <c r="D9">
        <v>5</v>
      </c>
      <c r="E9">
        <v>12</v>
      </c>
      <c r="F9">
        <v>1</v>
      </c>
      <c r="G9">
        <v>2</v>
      </c>
      <c r="H9">
        <v>16</v>
      </c>
      <c r="I9" t="s">
        <v>3</v>
      </c>
      <c r="J9" t="s">
        <v>133</v>
      </c>
      <c r="Y9" s="10">
        <f>_csv247[[#This Row],[entity 23: XP_new (While entity 24 give a rough idea of where place the monsters, the XP is the fine tuning. start with the lowest XP and use higher XP monsters, the further the heroes are venturing out)]]*13</f>
        <v>22756.5</v>
      </c>
      <c r="Z9" s="2">
        <v>0.17</v>
      </c>
      <c r="AA9" s="2">
        <v>0.5</v>
      </c>
      <c r="AB9" s="2">
        <v>0</v>
      </c>
      <c r="AC9" s="2">
        <v>0.5</v>
      </c>
      <c r="AD9" s="2">
        <v>0</v>
      </c>
      <c r="AE9">
        <v>600</v>
      </c>
      <c r="AF9">
        <v>20</v>
      </c>
      <c r="AG9">
        <v>1</v>
      </c>
      <c r="AH9" s="1">
        <v>3.5</v>
      </c>
      <c r="AI9" t="s">
        <v>1</v>
      </c>
      <c r="AJ9" t="s">
        <v>0</v>
      </c>
      <c r="AL9" t="s">
        <v>128</v>
      </c>
      <c r="AM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causes_status_weakness]])*100+COUNTA(R9,T9)*5000+COUNTA(_csv247[[#This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1750.5</v>
      </c>
      <c r="AN9">
        <v>1</v>
      </c>
    </row>
    <row r="10" spans="1:40" x14ac:dyDescent="0.25">
      <c r="A10">
        <v>11</v>
      </c>
      <c r="B10" t="s">
        <v>77</v>
      </c>
      <c r="C10">
        <v>40</v>
      </c>
      <c r="D10">
        <v>3</v>
      </c>
      <c r="E10">
        <v>12</v>
      </c>
      <c r="F10">
        <v>1</v>
      </c>
      <c r="G10">
        <v>4</v>
      </c>
      <c r="H10">
        <v>16</v>
      </c>
      <c r="I10" t="s">
        <v>16</v>
      </c>
      <c r="K10" t="s">
        <v>133</v>
      </c>
      <c r="Y10" s="10" t="s">
        <v>133</v>
      </c>
      <c r="Z10" s="2">
        <v>0.2</v>
      </c>
      <c r="AA10" s="2">
        <v>0</v>
      </c>
      <c r="AB10" s="2">
        <v>0</v>
      </c>
      <c r="AC10" s="2">
        <v>1</v>
      </c>
      <c r="AD10" s="2">
        <v>0.8</v>
      </c>
      <c r="AE10">
        <v>6000</v>
      </c>
      <c r="AF10">
        <v>200</v>
      </c>
      <c r="AG10">
        <v>2</v>
      </c>
      <c r="AH10" s="1">
        <v>3.5</v>
      </c>
      <c r="AI10" t="s">
        <v>1</v>
      </c>
      <c r="AJ10" t="s">
        <v>0</v>
      </c>
      <c r="AL10" t="s">
        <v>126</v>
      </c>
      <c r="AM1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causes_status_weakness]])*100+COUNTA(R10,T10)*5000+COUNTA(_csv247[[#This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2220</v>
      </c>
      <c r="AN10">
        <v>1</v>
      </c>
    </row>
    <row r="11" spans="1:40" x14ac:dyDescent="0.25">
      <c r="A11">
        <v>46</v>
      </c>
      <c r="B11" t="s">
        <v>94</v>
      </c>
      <c r="C11">
        <v>40</v>
      </c>
      <c r="D11">
        <v>4</v>
      </c>
      <c r="E11">
        <v>16</v>
      </c>
      <c r="F11">
        <v>2</v>
      </c>
      <c r="G11">
        <v>2</v>
      </c>
      <c r="H11">
        <v>16</v>
      </c>
      <c r="I11" t="s">
        <v>3</v>
      </c>
      <c r="Z11" s="2">
        <v>0.1</v>
      </c>
      <c r="AA11" s="2">
        <v>0.3</v>
      </c>
      <c r="AB11" s="2">
        <v>0</v>
      </c>
      <c r="AC11" s="2">
        <v>0.3</v>
      </c>
      <c r="AD11" s="2">
        <v>0.3</v>
      </c>
      <c r="AE11">
        <v>1200</v>
      </c>
      <c r="AF11">
        <v>0</v>
      </c>
      <c r="AG11">
        <v>1</v>
      </c>
      <c r="AH11" s="1">
        <v>3.5</v>
      </c>
      <c r="AI11" t="s">
        <v>1</v>
      </c>
      <c r="AJ11" t="s">
        <v>0</v>
      </c>
      <c r="AL11" t="s">
        <v>125</v>
      </c>
      <c r="AM1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causes_status_weakness]])*100+COUNTA(R11,T11)*5000+COUNTA(_csv247[[#This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2288</v>
      </c>
      <c r="AN11">
        <v>1</v>
      </c>
    </row>
    <row r="12" spans="1:40" x14ac:dyDescent="0.25">
      <c r="A12">
        <v>68</v>
      </c>
      <c r="B12" t="s">
        <v>88</v>
      </c>
      <c r="C12">
        <v>15</v>
      </c>
      <c r="D12">
        <v>13</v>
      </c>
      <c r="E12">
        <v>18</v>
      </c>
      <c r="F12">
        <v>2</v>
      </c>
      <c r="G12">
        <v>2</v>
      </c>
      <c r="H12">
        <v>6</v>
      </c>
      <c r="I12" t="s">
        <v>6</v>
      </c>
      <c r="M12" t="s">
        <v>133</v>
      </c>
      <c r="Y12" s="10">
        <f>_csv247[[#This Row],[entity 23: XP_new (While entity 24 give a rough idea of where place the monsters, the XP is the fine tuning. start with the lowest XP and use higher XP monsters, the further the heroes are venturing out)]]*13</f>
        <v>32129.5</v>
      </c>
      <c r="Z12" s="2">
        <v>0.6</v>
      </c>
      <c r="AA12" s="2">
        <v>0.25</v>
      </c>
      <c r="AB12" s="2">
        <v>0.5</v>
      </c>
      <c r="AC12" s="2">
        <v>0.25</v>
      </c>
      <c r="AD12" s="2">
        <v>0.25</v>
      </c>
      <c r="AE12">
        <v>2500</v>
      </c>
      <c r="AF12">
        <v>140</v>
      </c>
      <c r="AG12">
        <v>1</v>
      </c>
      <c r="AH12" s="1">
        <v>3.5</v>
      </c>
      <c r="AI12" t="s">
        <v>1</v>
      </c>
      <c r="AJ12" t="s">
        <v>0</v>
      </c>
      <c r="AL12" t="s">
        <v>128</v>
      </c>
      <c r="AM1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causes_status_weakness]])*100+COUNTA(R12,T12)*5000+COUNTA(_csv247[[#This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2471.5</v>
      </c>
      <c r="AN12">
        <v>1</v>
      </c>
    </row>
    <row r="13" spans="1:40" x14ac:dyDescent="0.25">
      <c r="A13">
        <v>61</v>
      </c>
      <c r="B13" t="s">
        <v>78</v>
      </c>
      <c r="C13">
        <v>50</v>
      </c>
      <c r="D13">
        <v>5</v>
      </c>
      <c r="E13">
        <v>10</v>
      </c>
      <c r="F13">
        <v>1</v>
      </c>
      <c r="G13">
        <v>3</v>
      </c>
      <c r="H13">
        <v>12</v>
      </c>
      <c r="I13" t="s">
        <v>29</v>
      </c>
      <c r="L13" t="s">
        <v>133</v>
      </c>
      <c r="Y13" s="10" t="s">
        <v>133</v>
      </c>
      <c r="Z13" s="2">
        <v>0.1</v>
      </c>
      <c r="AA13" s="2">
        <v>0</v>
      </c>
      <c r="AB13" s="2">
        <v>0</v>
      </c>
      <c r="AC13" s="2">
        <v>0</v>
      </c>
      <c r="AD13" s="2">
        <v>0</v>
      </c>
      <c r="AE13">
        <v>5000</v>
      </c>
      <c r="AF13">
        <v>150</v>
      </c>
      <c r="AG13">
        <v>2</v>
      </c>
      <c r="AH13" s="1">
        <v>3.5</v>
      </c>
      <c r="AI13" t="s">
        <v>1</v>
      </c>
      <c r="AJ13" t="s">
        <v>0</v>
      </c>
      <c r="AL13" t="s">
        <v>128</v>
      </c>
      <c r="AM1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causes_status_weakness]])*100+COUNTA(R13,T13)*5000+COUNTA(_csv247[[#This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2725</v>
      </c>
      <c r="AN13">
        <v>1</v>
      </c>
    </row>
    <row r="14" spans="1:40" x14ac:dyDescent="0.25">
      <c r="A14">
        <v>56</v>
      </c>
      <c r="B14" t="s">
        <v>79</v>
      </c>
      <c r="C14">
        <v>20</v>
      </c>
      <c r="D14">
        <v>10</v>
      </c>
      <c r="E14">
        <v>25</v>
      </c>
      <c r="F14">
        <v>1</v>
      </c>
      <c r="G14">
        <v>2</v>
      </c>
      <c r="H14">
        <v>8</v>
      </c>
      <c r="I14" t="s">
        <v>3</v>
      </c>
      <c r="O14" t="s">
        <v>133</v>
      </c>
      <c r="Z14" s="2">
        <v>0.5</v>
      </c>
      <c r="AA14" s="2">
        <v>0.75</v>
      </c>
      <c r="AB14" s="2">
        <v>0</v>
      </c>
      <c r="AC14" s="2">
        <v>0.75</v>
      </c>
      <c r="AD14" s="2">
        <v>0.75</v>
      </c>
      <c r="AE14">
        <v>4000</v>
      </c>
      <c r="AF14">
        <v>50</v>
      </c>
      <c r="AG14">
        <v>2</v>
      </c>
      <c r="AH14" s="1">
        <v>3.5</v>
      </c>
      <c r="AI14" t="s">
        <v>1</v>
      </c>
      <c r="AJ14" t="s">
        <v>0</v>
      </c>
      <c r="AL14" t="s">
        <v>127</v>
      </c>
      <c r="AM1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causes_status_weakness]])*100+COUNTA(R14,T14)*5000+COUNTA(_csv247[[#This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2775</v>
      </c>
      <c r="AN14">
        <v>1</v>
      </c>
    </row>
    <row r="15" spans="1:40" x14ac:dyDescent="0.25">
      <c r="A15">
        <v>12</v>
      </c>
      <c r="B15" t="s">
        <v>84</v>
      </c>
      <c r="C15">
        <v>40</v>
      </c>
      <c r="D15">
        <v>8</v>
      </c>
      <c r="E15">
        <v>15</v>
      </c>
      <c r="F15">
        <v>3</v>
      </c>
      <c r="G15">
        <v>3</v>
      </c>
      <c r="H15">
        <v>9</v>
      </c>
      <c r="I15" t="s">
        <v>3</v>
      </c>
      <c r="M15" t="s">
        <v>133</v>
      </c>
      <c r="Y15" s="10">
        <f>_csv247[[#This Row],[entity 23: XP_new (While entity 24 give a rough idea of where place the monsters, the XP is the fine tuning. start with the lowest XP and use higher XP monsters, the further the heroes are venturing out)]]*13</f>
        <v>47710</v>
      </c>
      <c r="Z15" s="2">
        <v>0.25</v>
      </c>
      <c r="AA15" s="2">
        <v>0</v>
      </c>
      <c r="AB15" s="2">
        <v>0</v>
      </c>
      <c r="AC15" s="2">
        <v>0</v>
      </c>
      <c r="AD15" s="2">
        <v>0</v>
      </c>
      <c r="AE15">
        <v>3500</v>
      </c>
      <c r="AF15">
        <v>200</v>
      </c>
      <c r="AG15">
        <v>2</v>
      </c>
      <c r="AH15" s="1">
        <v>3.5</v>
      </c>
      <c r="AI15" t="s">
        <v>1</v>
      </c>
      <c r="AJ15" t="s">
        <v>0</v>
      </c>
      <c r="AL15" t="s">
        <v>130</v>
      </c>
      <c r="AM1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causes_status_weakness]])*100+COUNTA(R15,T15)*5000+COUNTA(_csv247[[#This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3670</v>
      </c>
      <c r="AN15">
        <v>1</v>
      </c>
    </row>
    <row r="16" spans="1:40" x14ac:dyDescent="0.25">
      <c r="A16">
        <v>52</v>
      </c>
      <c r="B16" t="s">
        <v>96</v>
      </c>
      <c r="C16">
        <v>40</v>
      </c>
      <c r="D16">
        <v>8</v>
      </c>
      <c r="E16">
        <v>30</v>
      </c>
      <c r="F16">
        <v>3</v>
      </c>
      <c r="G16">
        <v>3</v>
      </c>
      <c r="H16">
        <v>9</v>
      </c>
      <c r="I16" t="s">
        <v>3</v>
      </c>
      <c r="Y16" s="10">
        <f>_csv247[[#This Row],[entity 23: XP_new (While entity 24 give a rough idea of where place the monsters, the XP is the fine tuning. start with the lowest XP and use higher XP monsters, the further the heroes are venturing out)]]*13</f>
        <v>57980</v>
      </c>
      <c r="Z16" s="2">
        <v>0.2</v>
      </c>
      <c r="AA16" s="2">
        <v>0</v>
      </c>
      <c r="AB16" s="2">
        <v>0</v>
      </c>
      <c r="AC16" s="2">
        <v>0.8</v>
      </c>
      <c r="AD16" s="2">
        <v>0.8</v>
      </c>
      <c r="AE16">
        <v>1000</v>
      </c>
      <c r="AF16">
        <v>0</v>
      </c>
      <c r="AG16">
        <v>1</v>
      </c>
      <c r="AH16" s="1">
        <v>3.5</v>
      </c>
      <c r="AI16" t="s">
        <v>1</v>
      </c>
      <c r="AJ16" t="s">
        <v>0</v>
      </c>
      <c r="AL16" t="s">
        <v>125</v>
      </c>
      <c r="AM1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causes_status_weakness]])*100+COUNTA(R16,T16)*5000+COUNTA(_csv247[[#This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4460</v>
      </c>
      <c r="AN16">
        <v>1</v>
      </c>
    </row>
    <row r="17" spans="1:40" x14ac:dyDescent="0.25">
      <c r="A17">
        <v>77</v>
      </c>
      <c r="B17" t="s">
        <v>65</v>
      </c>
      <c r="C17">
        <v>50</v>
      </c>
      <c r="D17">
        <v>8</v>
      </c>
      <c r="E17">
        <v>16</v>
      </c>
      <c r="F17">
        <v>1</v>
      </c>
      <c r="G17">
        <v>4</v>
      </c>
      <c r="H17">
        <v>16</v>
      </c>
      <c r="I17" t="s">
        <v>6</v>
      </c>
      <c r="J17" t="s">
        <v>133</v>
      </c>
      <c r="M17" t="s">
        <v>133</v>
      </c>
      <c r="Y17" s="10" t="s">
        <v>133</v>
      </c>
      <c r="Z17" s="2">
        <v>0.5</v>
      </c>
      <c r="AA17" s="2">
        <v>0</v>
      </c>
      <c r="AB17" s="2">
        <v>0</v>
      </c>
      <c r="AC17" s="2">
        <v>0</v>
      </c>
      <c r="AD17" s="2">
        <v>0</v>
      </c>
      <c r="AE17">
        <v>16000</v>
      </c>
      <c r="AF17">
        <v>450</v>
      </c>
      <c r="AG17">
        <v>3</v>
      </c>
      <c r="AH17" s="1">
        <v>3.5</v>
      </c>
      <c r="AI17" t="s">
        <v>1</v>
      </c>
      <c r="AJ17" t="s">
        <v>0</v>
      </c>
      <c r="AL17" t="s">
        <v>128</v>
      </c>
      <c r="AM1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causes_status_weakness]])*100+COUNTA(R17,T17)*5000+COUNTA(_csv247[[#This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4610</v>
      </c>
      <c r="AN17">
        <v>1</v>
      </c>
    </row>
    <row r="18" spans="1:40" x14ac:dyDescent="0.25">
      <c r="A18">
        <v>6</v>
      </c>
      <c r="B18" t="s">
        <v>87</v>
      </c>
      <c r="C18">
        <v>70</v>
      </c>
      <c r="D18">
        <v>5</v>
      </c>
      <c r="E18">
        <v>8</v>
      </c>
      <c r="F18">
        <v>2</v>
      </c>
      <c r="G18">
        <v>2</v>
      </c>
      <c r="H18">
        <v>10</v>
      </c>
      <c r="I18" t="s">
        <v>14</v>
      </c>
      <c r="J18" t="s">
        <v>133</v>
      </c>
      <c r="Y18" s="10" t="s">
        <v>133</v>
      </c>
      <c r="Z18" s="2">
        <v>0.33</v>
      </c>
      <c r="AA18" s="2">
        <v>0</v>
      </c>
      <c r="AB18" s="2">
        <v>0.5</v>
      </c>
      <c r="AC18" s="2">
        <v>0</v>
      </c>
      <c r="AD18" s="2">
        <v>0.5</v>
      </c>
      <c r="AE18">
        <v>3000</v>
      </c>
      <c r="AF18">
        <v>50</v>
      </c>
      <c r="AG18">
        <v>1</v>
      </c>
      <c r="AH18" s="1">
        <v>3.5</v>
      </c>
      <c r="AI18" t="s">
        <v>1</v>
      </c>
      <c r="AJ18" t="s">
        <v>0</v>
      </c>
      <c r="AL18" t="s">
        <v>127</v>
      </c>
      <c r="AM1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causes_status_weakness]])*100+COUNTA(R18,T18)*5000+COUNTA(_csv247[[#This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4627</v>
      </c>
      <c r="AN18">
        <v>1</v>
      </c>
    </row>
    <row r="19" spans="1:40" x14ac:dyDescent="0.25">
      <c r="A19">
        <v>30</v>
      </c>
      <c r="B19" t="s">
        <v>86</v>
      </c>
      <c r="C19">
        <v>30</v>
      </c>
      <c r="D19">
        <v>14</v>
      </c>
      <c r="E19">
        <v>25</v>
      </c>
      <c r="F19">
        <v>8</v>
      </c>
      <c r="G19">
        <v>2</v>
      </c>
      <c r="H19">
        <v>8</v>
      </c>
      <c r="I19" t="s">
        <v>3</v>
      </c>
      <c r="L19" t="s">
        <v>133</v>
      </c>
      <c r="Y19" s="10">
        <f>_csv247[[#This Row],[entity 23: XP_new (While entity 24 give a rough idea of where place the monsters, the XP is the fine tuning. start with the lowest XP and use higher XP monsters, the further the heroes are venturing out)]]*13</f>
        <v>73307</v>
      </c>
      <c r="Z19" s="2">
        <v>0.33</v>
      </c>
      <c r="AA19" s="2">
        <v>0</v>
      </c>
      <c r="AB19" s="2">
        <v>0</v>
      </c>
      <c r="AC19" s="2">
        <v>0.3</v>
      </c>
      <c r="AD19" s="2">
        <v>0.5</v>
      </c>
      <c r="AE19">
        <v>3000</v>
      </c>
      <c r="AF19">
        <v>30</v>
      </c>
      <c r="AG19">
        <v>1</v>
      </c>
      <c r="AH19" s="1">
        <v>3.5</v>
      </c>
      <c r="AI19" t="s">
        <v>1</v>
      </c>
      <c r="AJ19" t="s">
        <v>0</v>
      </c>
      <c r="AL19" t="s">
        <v>125</v>
      </c>
      <c r="AM1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causes_status_weakness]])*100+COUNTA(R19,T19)*5000+COUNTA(_csv247[[#This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5639</v>
      </c>
      <c r="AN19">
        <v>1</v>
      </c>
    </row>
    <row r="20" spans="1:40" x14ac:dyDescent="0.25">
      <c r="A20">
        <v>40</v>
      </c>
      <c r="B20" t="s">
        <v>83</v>
      </c>
      <c r="C20">
        <v>50</v>
      </c>
      <c r="D20">
        <v>12</v>
      </c>
      <c r="E20">
        <v>30</v>
      </c>
      <c r="F20">
        <v>2</v>
      </c>
      <c r="G20">
        <v>2</v>
      </c>
      <c r="H20">
        <v>20</v>
      </c>
      <c r="I20" t="s">
        <v>3</v>
      </c>
      <c r="L20" t="s">
        <v>133</v>
      </c>
      <c r="Y20" s="10">
        <f>_csv247[[#This Row],[entity 23: XP_new (While entity 24 give a rough idea of where place the monsters, the XP is the fine tuning. start with the lowest XP and use higher XP monsters, the further the heroes are venturing out)]]*13</f>
        <v>91130</v>
      </c>
      <c r="Z20" s="2">
        <v>0.5</v>
      </c>
      <c r="AA20" s="2">
        <v>0</v>
      </c>
      <c r="AB20" s="2">
        <v>0</v>
      </c>
      <c r="AC20" s="2">
        <v>0</v>
      </c>
      <c r="AD20" s="2">
        <v>0</v>
      </c>
      <c r="AE20">
        <v>3500</v>
      </c>
      <c r="AF20">
        <v>100</v>
      </c>
      <c r="AG20">
        <v>2</v>
      </c>
      <c r="AH20" s="1">
        <v>3.5</v>
      </c>
      <c r="AI20" t="s">
        <v>1</v>
      </c>
      <c r="AJ20" t="s">
        <v>0</v>
      </c>
      <c r="AL20" t="s">
        <v>125</v>
      </c>
      <c r="AM2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causes_status_weakness]])*100+COUNTA(R20,T20)*5000+COUNTA(_csv247[[#This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7010</v>
      </c>
      <c r="AN20">
        <v>2</v>
      </c>
    </row>
    <row r="21" spans="1:40" x14ac:dyDescent="0.25">
      <c r="A21">
        <v>51</v>
      </c>
      <c r="B21" t="s">
        <v>89</v>
      </c>
      <c r="C21">
        <v>60</v>
      </c>
      <c r="D21">
        <v>10</v>
      </c>
      <c r="E21">
        <v>15</v>
      </c>
      <c r="F21">
        <v>1</v>
      </c>
      <c r="G21">
        <v>2</v>
      </c>
      <c r="H21">
        <v>32</v>
      </c>
      <c r="I21" t="s">
        <v>3</v>
      </c>
      <c r="Q21" t="s">
        <v>133</v>
      </c>
      <c r="Y21" s="10">
        <f>_csv247[[#This Row],[entity 23: XP_new (While entity 24 give a rough idea of where place the monsters, the XP is the fine tuning. start with the lowest XP and use higher XP monsters, the further the heroes are venturing out)]]*13</f>
        <v>91195</v>
      </c>
      <c r="Z21" s="2">
        <v>0.1</v>
      </c>
      <c r="AA21" s="2">
        <v>0.5</v>
      </c>
      <c r="AB21" s="2">
        <v>0</v>
      </c>
      <c r="AC21" s="2">
        <v>0.3</v>
      </c>
      <c r="AD21" s="2">
        <v>0.2</v>
      </c>
      <c r="AE21">
        <v>2500</v>
      </c>
      <c r="AF21">
        <v>100</v>
      </c>
      <c r="AG21">
        <v>1</v>
      </c>
      <c r="AH21" s="1">
        <v>3.5</v>
      </c>
      <c r="AI21" t="s">
        <v>1</v>
      </c>
      <c r="AJ21" t="s">
        <v>0</v>
      </c>
      <c r="AL21" t="s">
        <v>128</v>
      </c>
      <c r="AM2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causes_status_weakness]])*100+COUNTA(R21,T21)*5000+COUNTA(_csv247[[#This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7015</v>
      </c>
      <c r="AN21">
        <v>2</v>
      </c>
    </row>
    <row r="22" spans="1:40" x14ac:dyDescent="0.25">
      <c r="A22">
        <v>58</v>
      </c>
      <c r="B22" t="s">
        <v>76</v>
      </c>
      <c r="C22">
        <v>100</v>
      </c>
      <c r="D22">
        <v>5</v>
      </c>
      <c r="E22">
        <v>17</v>
      </c>
      <c r="F22">
        <v>3</v>
      </c>
      <c r="G22">
        <v>4</v>
      </c>
      <c r="H22">
        <v>12</v>
      </c>
      <c r="I22" t="s">
        <v>29</v>
      </c>
      <c r="L22" t="s">
        <v>133</v>
      </c>
      <c r="Y22" s="10" t="s">
        <v>133</v>
      </c>
      <c r="Z22" s="2">
        <v>0.4</v>
      </c>
      <c r="AA22" s="2">
        <v>0.6</v>
      </c>
      <c r="AB22" s="2">
        <v>0.5</v>
      </c>
      <c r="AC22" s="2">
        <v>0</v>
      </c>
      <c r="AD22" s="2">
        <v>0.6</v>
      </c>
      <c r="AE22">
        <v>8000</v>
      </c>
      <c r="AF22">
        <v>600</v>
      </c>
      <c r="AG22">
        <v>2</v>
      </c>
      <c r="AH22" s="1">
        <v>3.5</v>
      </c>
      <c r="AI22" t="s">
        <v>1</v>
      </c>
      <c r="AJ22" t="s">
        <v>0</v>
      </c>
      <c r="AL22" t="s">
        <v>127</v>
      </c>
      <c r="AM2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causes_status_weakness]])*100+COUNTA(R22,T22)*5000+COUNTA(_csv247[[#This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7608</v>
      </c>
      <c r="AN22">
        <v>2</v>
      </c>
    </row>
    <row r="23" spans="1:40" x14ac:dyDescent="0.25">
      <c r="A23">
        <v>39</v>
      </c>
      <c r="B23" t="s">
        <v>90</v>
      </c>
      <c r="C23">
        <v>75</v>
      </c>
      <c r="D23">
        <v>10</v>
      </c>
      <c r="E23">
        <v>16</v>
      </c>
      <c r="F23">
        <v>1</v>
      </c>
      <c r="G23">
        <v>4</v>
      </c>
      <c r="H23">
        <v>20</v>
      </c>
      <c r="I23" t="s">
        <v>3</v>
      </c>
      <c r="O23" t="s">
        <v>133</v>
      </c>
      <c r="Y23" s="10" t="s">
        <v>133</v>
      </c>
      <c r="Z23" s="2">
        <v>0</v>
      </c>
      <c r="AA23" s="2">
        <v>0</v>
      </c>
      <c r="AB23" s="2">
        <v>0</v>
      </c>
      <c r="AC23" s="2">
        <v>0</v>
      </c>
      <c r="AD23" s="2">
        <v>0</v>
      </c>
      <c r="AE23">
        <v>2500</v>
      </c>
      <c r="AF23">
        <v>250</v>
      </c>
      <c r="AG23">
        <v>1</v>
      </c>
      <c r="AH23" s="1">
        <v>3.5</v>
      </c>
      <c r="AI23" t="s">
        <v>1</v>
      </c>
      <c r="AJ23" t="s">
        <v>0</v>
      </c>
      <c r="AL23" t="s">
        <v>130</v>
      </c>
      <c r="AM2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causes_status_weakness]])*100+COUNTA(R23,T23)*5000+COUNTA(_csv247[[#This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7792</v>
      </c>
      <c r="AN23">
        <v>2</v>
      </c>
    </row>
    <row r="24" spans="1:40" x14ac:dyDescent="0.25">
      <c r="A24">
        <v>49</v>
      </c>
      <c r="B24" t="s">
        <v>85</v>
      </c>
      <c r="C24">
        <v>45</v>
      </c>
      <c r="D24">
        <v>15</v>
      </c>
      <c r="E24">
        <v>35</v>
      </c>
      <c r="F24">
        <v>4</v>
      </c>
      <c r="G24">
        <v>2</v>
      </c>
      <c r="H24">
        <v>8</v>
      </c>
      <c r="I24" t="s">
        <v>3</v>
      </c>
      <c r="Y24" s="10">
        <f>_csv247[[#This Row],[entity 23: XP_new (While entity 24 give a rough idea of where place the monsters, the XP is the fine tuning. start with the lowest XP and use higher XP monsters, the further the heroes are venturing out)]]*13</f>
        <v>102992.5</v>
      </c>
      <c r="Z24" s="2">
        <v>0.25</v>
      </c>
      <c r="AA24" s="2">
        <v>0.2</v>
      </c>
      <c r="AB24" s="2">
        <v>0.2</v>
      </c>
      <c r="AC24" s="2">
        <v>0.2</v>
      </c>
      <c r="AD24" s="2">
        <v>0.2</v>
      </c>
      <c r="AE24">
        <v>3000</v>
      </c>
      <c r="AF24">
        <v>30</v>
      </c>
      <c r="AG24">
        <v>1</v>
      </c>
      <c r="AH24" s="1">
        <v>3.5</v>
      </c>
      <c r="AI24" t="s">
        <v>1</v>
      </c>
      <c r="AJ24" t="s">
        <v>0</v>
      </c>
      <c r="AL24" t="s">
        <v>130</v>
      </c>
      <c r="AM2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causes_status_weakness]])*100+COUNTA(R24,T24)*5000+COUNTA(_csv247[[#This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7922.5</v>
      </c>
      <c r="AN24">
        <v>2</v>
      </c>
    </row>
    <row r="25" spans="1:40" x14ac:dyDescent="0.25">
      <c r="A25">
        <v>8</v>
      </c>
      <c r="B25" t="s">
        <v>73</v>
      </c>
      <c r="C25">
        <v>75</v>
      </c>
      <c r="D25">
        <v>10</v>
      </c>
      <c r="E25">
        <v>12</v>
      </c>
      <c r="F25">
        <v>1</v>
      </c>
      <c r="G25">
        <v>2</v>
      </c>
      <c r="H25">
        <v>80</v>
      </c>
      <c r="I25" t="s">
        <v>3</v>
      </c>
      <c r="Q25" t="s">
        <v>133</v>
      </c>
      <c r="Z25" s="2">
        <v>0.2</v>
      </c>
      <c r="AA25" s="2">
        <v>0</v>
      </c>
      <c r="AB25" s="2">
        <v>0</v>
      </c>
      <c r="AC25" s="2">
        <v>0</v>
      </c>
      <c r="AD25" s="2">
        <v>0</v>
      </c>
      <c r="AE25">
        <v>10000</v>
      </c>
      <c r="AF25">
        <v>0</v>
      </c>
      <c r="AG25">
        <v>2</v>
      </c>
      <c r="AH25" s="1">
        <v>3.5</v>
      </c>
      <c r="AI25" t="s">
        <v>1</v>
      </c>
      <c r="AJ25" t="s">
        <v>0</v>
      </c>
      <c r="AL25" t="s">
        <v>128</v>
      </c>
      <c r="AM2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causes_status_weakness]])*100+COUNTA(R25,T25)*5000+COUNTA(_csv247[[#This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8242</v>
      </c>
      <c r="AN25">
        <v>2</v>
      </c>
    </row>
    <row r="26" spans="1:40" x14ac:dyDescent="0.25">
      <c r="A26">
        <v>63</v>
      </c>
      <c r="B26" t="s">
        <v>70</v>
      </c>
      <c r="C26">
        <v>50</v>
      </c>
      <c r="D26">
        <v>15</v>
      </c>
      <c r="E26">
        <v>22</v>
      </c>
      <c r="F26">
        <v>2</v>
      </c>
      <c r="G26">
        <v>3</v>
      </c>
      <c r="H26">
        <v>18</v>
      </c>
      <c r="I26" t="s">
        <v>3</v>
      </c>
      <c r="L26" t="s">
        <v>133</v>
      </c>
      <c r="Y26" s="10">
        <f>_csv247[[#This Row],[entity 23: XP_new (While entity 24 give a rough idea of where place the monsters, the XP is the fine tuning. start with the lowest XP and use higher XP monsters, the further the heroes are venturing out)]]*13</f>
        <v>108706</v>
      </c>
      <c r="Z26" s="2">
        <v>0.6</v>
      </c>
      <c r="AA26" s="2">
        <v>0</v>
      </c>
      <c r="AB26" s="2">
        <v>0</v>
      </c>
      <c r="AC26" s="2">
        <v>0</v>
      </c>
      <c r="AD26" s="2">
        <v>0</v>
      </c>
      <c r="AE26">
        <v>12000</v>
      </c>
      <c r="AF26">
        <v>1000</v>
      </c>
      <c r="AG26">
        <v>2</v>
      </c>
      <c r="AH26" s="1">
        <v>3.5</v>
      </c>
      <c r="AI26" t="s">
        <v>1</v>
      </c>
      <c r="AJ26" t="s">
        <v>0</v>
      </c>
      <c r="AL26" t="s">
        <v>130</v>
      </c>
      <c r="AM2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causes_status_weakness]])*100+COUNTA(R26,T26)*5000+COUNTA(_csv247[[#This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8362</v>
      </c>
      <c r="AN26">
        <v>2</v>
      </c>
    </row>
    <row r="27" spans="1:40" x14ac:dyDescent="0.25">
      <c r="A27">
        <v>10</v>
      </c>
      <c r="B27" t="s">
        <v>81</v>
      </c>
      <c r="C27">
        <v>50</v>
      </c>
      <c r="D27">
        <v>15</v>
      </c>
      <c r="E27">
        <v>25</v>
      </c>
      <c r="F27">
        <v>1</v>
      </c>
      <c r="G27">
        <v>2</v>
      </c>
      <c r="H27">
        <v>30</v>
      </c>
      <c r="I27" t="s">
        <v>3</v>
      </c>
      <c r="N27" t="s">
        <v>133</v>
      </c>
      <c r="Z27" s="2">
        <v>0.5</v>
      </c>
      <c r="AA27" s="2">
        <v>0.2</v>
      </c>
      <c r="AB27" s="2">
        <v>0</v>
      </c>
      <c r="AC27" s="2">
        <v>0.2</v>
      </c>
      <c r="AD27" s="2">
        <v>0</v>
      </c>
      <c r="AE27">
        <v>4000</v>
      </c>
      <c r="AF27">
        <v>50</v>
      </c>
      <c r="AG27">
        <v>2</v>
      </c>
      <c r="AH27" s="1">
        <v>3.5</v>
      </c>
      <c r="AI27" t="s">
        <v>1</v>
      </c>
      <c r="AJ27" t="s">
        <v>0</v>
      </c>
      <c r="AL27" t="s">
        <v>128</v>
      </c>
      <c r="AM2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causes_status_weakness]])*100+COUNTA(R27,T27)*5000+COUNTA(_csv247[[#This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8450</v>
      </c>
      <c r="AN27">
        <v>2</v>
      </c>
    </row>
    <row r="28" spans="1:40" x14ac:dyDescent="0.25">
      <c r="A28">
        <v>18</v>
      </c>
      <c r="B28" t="s">
        <v>80</v>
      </c>
      <c r="C28">
        <v>70</v>
      </c>
      <c r="D28">
        <v>10</v>
      </c>
      <c r="E28">
        <v>18</v>
      </c>
      <c r="F28">
        <v>6</v>
      </c>
      <c r="G28">
        <v>3</v>
      </c>
      <c r="H28">
        <v>15</v>
      </c>
      <c r="I28" t="s">
        <v>3</v>
      </c>
      <c r="Y28" s="10" t="s">
        <v>133</v>
      </c>
      <c r="Z28" s="2">
        <v>0.17</v>
      </c>
      <c r="AA28" s="2">
        <v>0.25</v>
      </c>
      <c r="AB28" s="2">
        <v>0</v>
      </c>
      <c r="AC28" s="2">
        <v>0.25</v>
      </c>
      <c r="AD28" s="2">
        <v>0.25</v>
      </c>
      <c r="AE28">
        <v>4000</v>
      </c>
      <c r="AF28">
        <v>200</v>
      </c>
      <c r="AG28">
        <v>2</v>
      </c>
      <c r="AH28" s="1">
        <v>3.5</v>
      </c>
      <c r="AI28" t="s">
        <v>1</v>
      </c>
      <c r="AJ28" t="s">
        <v>0</v>
      </c>
      <c r="AL28" t="s">
        <v>125</v>
      </c>
      <c r="AM2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causes_status_weakness]])*100+COUNTA(R28,T28)*5000+COUNTA(_csv247[[#This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8616</v>
      </c>
      <c r="AN28">
        <v>2</v>
      </c>
    </row>
    <row r="29" spans="1:40" x14ac:dyDescent="0.25">
      <c r="A29">
        <v>57</v>
      </c>
      <c r="B29" t="s">
        <v>72</v>
      </c>
      <c r="C29">
        <v>40</v>
      </c>
      <c r="D29">
        <v>20</v>
      </c>
      <c r="E29">
        <v>30</v>
      </c>
      <c r="F29">
        <v>8</v>
      </c>
      <c r="G29">
        <v>3</v>
      </c>
      <c r="H29">
        <v>9</v>
      </c>
      <c r="I29" t="s">
        <v>3</v>
      </c>
      <c r="Y29" s="10" t="s">
        <v>133</v>
      </c>
      <c r="Z29" s="2">
        <v>0</v>
      </c>
      <c r="AA29" s="2">
        <v>0</v>
      </c>
      <c r="AB29" s="2">
        <v>0</v>
      </c>
      <c r="AC29" s="2">
        <v>0</v>
      </c>
      <c r="AD29" s="2">
        <v>0</v>
      </c>
      <c r="AE29">
        <v>10000</v>
      </c>
      <c r="AF29">
        <v>50</v>
      </c>
      <c r="AG29">
        <v>2</v>
      </c>
      <c r="AH29" s="1">
        <v>3.5</v>
      </c>
      <c r="AI29" t="s">
        <v>8</v>
      </c>
      <c r="AJ29" t="s">
        <v>0</v>
      </c>
      <c r="AL29" t="s">
        <v>125</v>
      </c>
      <c r="AM2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causes_status_weakness]])*100+COUNTA(R29,T29)*5000+COUNTA(_csv247[[#This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9440</v>
      </c>
      <c r="AN29">
        <v>2</v>
      </c>
    </row>
    <row r="30" spans="1:40" x14ac:dyDescent="0.25">
      <c r="A30">
        <v>55</v>
      </c>
      <c r="B30" t="s">
        <v>67</v>
      </c>
      <c r="C30">
        <v>50</v>
      </c>
      <c r="D30">
        <v>12</v>
      </c>
      <c r="E30">
        <v>20</v>
      </c>
      <c r="F30">
        <v>1</v>
      </c>
      <c r="G30">
        <v>4</v>
      </c>
      <c r="H30">
        <v>16</v>
      </c>
      <c r="I30" t="s">
        <v>6</v>
      </c>
      <c r="X30" t="s">
        <v>133</v>
      </c>
      <c r="Z30" s="2">
        <v>0.2</v>
      </c>
      <c r="AA30" s="2">
        <v>0</v>
      </c>
      <c r="AB30" s="2">
        <v>0</v>
      </c>
      <c r="AC30" s="2">
        <v>0</v>
      </c>
      <c r="AD30" s="2">
        <v>0</v>
      </c>
      <c r="AE30">
        <v>16000</v>
      </c>
      <c r="AF30">
        <v>150</v>
      </c>
      <c r="AG30">
        <v>3</v>
      </c>
      <c r="AH30" s="1">
        <v>3.5</v>
      </c>
      <c r="AI30" t="s">
        <v>1</v>
      </c>
      <c r="AJ30" t="s">
        <v>0</v>
      </c>
      <c r="AL30" t="s">
        <v>129</v>
      </c>
      <c r="AM3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causes_status_weakness]])*100+COUNTA(R30,T30)*5000+COUNTA(_csv247[[#This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10300</v>
      </c>
      <c r="AN30">
        <v>2</v>
      </c>
    </row>
    <row r="31" spans="1:40" x14ac:dyDescent="0.25">
      <c r="A31">
        <v>5</v>
      </c>
      <c r="B31" t="s">
        <v>82</v>
      </c>
      <c r="C31">
        <v>60</v>
      </c>
      <c r="D31">
        <v>15</v>
      </c>
      <c r="E31">
        <v>22</v>
      </c>
      <c r="F31">
        <v>2</v>
      </c>
      <c r="G31">
        <v>2</v>
      </c>
      <c r="H31">
        <v>24</v>
      </c>
      <c r="I31" t="s">
        <v>6</v>
      </c>
      <c r="Y31" s="10">
        <f>_csv247[[#This Row],[entity 23: XP_new (While entity 24 give a rough idea of where place the monsters, the XP is the fine tuning. start with the lowest XP and use higher XP monsters, the further the heroes are venturing out)]]*13</f>
        <v>143936</v>
      </c>
      <c r="Z31" s="2">
        <v>1</v>
      </c>
      <c r="AA31" s="2">
        <v>0.5</v>
      </c>
      <c r="AB31" s="2">
        <v>0</v>
      </c>
      <c r="AC31" s="2">
        <v>0.5</v>
      </c>
      <c r="AD31" s="2">
        <v>0.5</v>
      </c>
      <c r="AE31">
        <v>4000</v>
      </c>
      <c r="AF31">
        <v>80</v>
      </c>
      <c r="AG31">
        <v>2</v>
      </c>
      <c r="AH31" s="1">
        <v>3.5</v>
      </c>
      <c r="AI31" t="s">
        <v>1</v>
      </c>
      <c r="AJ31" t="s">
        <v>0</v>
      </c>
      <c r="AL31" t="s">
        <v>125</v>
      </c>
      <c r="AM3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causes_status_weakness]])*100+COUNTA(R31,T31)*5000+COUNTA(_csv247[[#This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11072</v>
      </c>
      <c r="AN31">
        <v>2</v>
      </c>
    </row>
    <row r="32" spans="1:40" x14ac:dyDescent="0.25">
      <c r="A32">
        <v>9</v>
      </c>
      <c r="B32" t="s">
        <v>53</v>
      </c>
      <c r="C32">
        <v>100</v>
      </c>
      <c r="D32">
        <v>10</v>
      </c>
      <c r="E32">
        <v>20</v>
      </c>
      <c r="F32">
        <v>1</v>
      </c>
      <c r="G32">
        <v>2</v>
      </c>
      <c r="H32">
        <v>36</v>
      </c>
      <c r="I32" t="s">
        <v>6</v>
      </c>
      <c r="J32" t="s">
        <v>133</v>
      </c>
      <c r="K32" t="s">
        <v>133</v>
      </c>
      <c r="Z32" s="2">
        <v>7.0000000000000007E-2</v>
      </c>
      <c r="AA32" s="2">
        <v>0.2</v>
      </c>
      <c r="AB32" s="2">
        <v>0</v>
      </c>
      <c r="AC32" s="2">
        <v>0.2</v>
      </c>
      <c r="AD32" s="2">
        <v>0.2</v>
      </c>
      <c r="AE32">
        <v>32000</v>
      </c>
      <c r="AF32">
        <v>1800</v>
      </c>
      <c r="AG32">
        <v>3</v>
      </c>
      <c r="AH32" s="1">
        <v>3.5</v>
      </c>
      <c r="AI32" t="s">
        <v>1</v>
      </c>
      <c r="AJ32" t="s">
        <v>0</v>
      </c>
      <c r="AL32" t="s">
        <v>130</v>
      </c>
      <c r="AM3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causes_status_weakness]])*100+COUNTA(R32,T32)*5000+COUNTA(_csv247[[#This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11250</v>
      </c>
      <c r="AN32">
        <v>2</v>
      </c>
    </row>
    <row r="33" spans="1:40" x14ac:dyDescent="0.25">
      <c r="A33">
        <v>7</v>
      </c>
      <c r="B33" t="s">
        <v>74</v>
      </c>
      <c r="C33">
        <v>40</v>
      </c>
      <c r="D33">
        <v>25</v>
      </c>
      <c r="E33">
        <v>20</v>
      </c>
      <c r="F33">
        <v>1</v>
      </c>
      <c r="G33">
        <v>60</v>
      </c>
      <c r="H33">
        <v>120</v>
      </c>
      <c r="I33" t="s">
        <v>3</v>
      </c>
      <c r="Z33" s="2">
        <v>1</v>
      </c>
      <c r="AA33" s="2">
        <v>0</v>
      </c>
      <c r="AB33" s="2">
        <v>0</v>
      </c>
      <c r="AC33" s="2">
        <v>0</v>
      </c>
      <c r="AD33" s="2">
        <v>0</v>
      </c>
      <c r="AE33">
        <v>10000</v>
      </c>
      <c r="AF33">
        <v>300</v>
      </c>
      <c r="AG33">
        <v>2</v>
      </c>
      <c r="AH33" s="1">
        <v>3.5</v>
      </c>
      <c r="AI33" t="s">
        <v>1</v>
      </c>
      <c r="AJ33" t="s">
        <v>0</v>
      </c>
      <c r="AL33" t="s">
        <v>127</v>
      </c>
      <c r="AM3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causes_status_weakness]])*100+COUNTA(R33,T33)*5000+COUNTA(_csv247[[#This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12200</v>
      </c>
      <c r="AN33">
        <v>2</v>
      </c>
    </row>
    <row r="34" spans="1:40" x14ac:dyDescent="0.25">
      <c r="A34">
        <v>66</v>
      </c>
      <c r="B34" t="s">
        <v>48</v>
      </c>
      <c r="C34">
        <v>100</v>
      </c>
      <c r="D34">
        <v>10</v>
      </c>
      <c r="E34">
        <v>40</v>
      </c>
      <c r="F34">
        <v>1</v>
      </c>
      <c r="G34">
        <v>8</v>
      </c>
      <c r="H34">
        <v>80</v>
      </c>
      <c r="I34" t="s">
        <v>16</v>
      </c>
      <c r="J34" t="s">
        <v>133</v>
      </c>
      <c r="Z34" s="2">
        <v>0</v>
      </c>
      <c r="AA34" s="2">
        <v>0.25</v>
      </c>
      <c r="AB34" s="2">
        <v>0.25</v>
      </c>
      <c r="AC34" s="2">
        <v>0.25</v>
      </c>
      <c r="AD34" s="2">
        <v>0.25</v>
      </c>
      <c r="AE34">
        <v>50000</v>
      </c>
      <c r="AF34">
        <v>3000</v>
      </c>
      <c r="AG34">
        <v>4</v>
      </c>
      <c r="AH34" s="1">
        <v>3.5</v>
      </c>
      <c r="AI34" t="s">
        <v>1</v>
      </c>
      <c r="AJ34" t="s">
        <v>0</v>
      </c>
      <c r="AL34" t="s">
        <v>128</v>
      </c>
      <c r="AM3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causes_status_weakness]])*100+COUNTA(R34,T34)*5000+COUNTA(_csv247[[#This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12860</v>
      </c>
      <c r="AN34">
        <v>2</v>
      </c>
    </row>
    <row r="35" spans="1:40" x14ac:dyDescent="0.25">
      <c r="A35">
        <v>91</v>
      </c>
      <c r="B35" t="s">
        <v>75</v>
      </c>
      <c r="C35">
        <v>250</v>
      </c>
      <c r="D35">
        <v>4</v>
      </c>
      <c r="E35">
        <v>16</v>
      </c>
      <c r="F35">
        <v>6</v>
      </c>
      <c r="G35">
        <v>2</v>
      </c>
      <c r="H35">
        <v>16</v>
      </c>
      <c r="I35" t="s">
        <v>3</v>
      </c>
      <c r="Z35" s="2">
        <v>0.1</v>
      </c>
      <c r="AA35" s="2">
        <v>0.3</v>
      </c>
      <c r="AB35" s="2">
        <v>0</v>
      </c>
      <c r="AC35" s="2">
        <v>0.3</v>
      </c>
      <c r="AD35" s="2">
        <v>0.3</v>
      </c>
      <c r="AE35">
        <v>8000</v>
      </c>
      <c r="AF35">
        <v>0</v>
      </c>
      <c r="AG35">
        <v>2</v>
      </c>
      <c r="AH35" s="1">
        <v>3.5</v>
      </c>
      <c r="AI35" t="s">
        <v>1</v>
      </c>
      <c r="AJ35" t="s">
        <v>0</v>
      </c>
      <c r="AK35" t="s">
        <v>131</v>
      </c>
      <c r="AL35" t="s">
        <v>125</v>
      </c>
      <c r="AM3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causes_status_weakness]])*100+COUNTA(R35,T35)*5000+COUNTA(_csv247[[#This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13364</v>
      </c>
      <c r="AN35">
        <v>2</v>
      </c>
    </row>
    <row r="36" spans="1:40" x14ac:dyDescent="0.25">
      <c r="A36">
        <v>20</v>
      </c>
      <c r="B36" t="s">
        <v>62</v>
      </c>
      <c r="C36">
        <v>125</v>
      </c>
      <c r="D36">
        <v>10</v>
      </c>
      <c r="E36">
        <v>20</v>
      </c>
      <c r="F36">
        <v>2</v>
      </c>
      <c r="G36">
        <v>3</v>
      </c>
      <c r="H36">
        <v>60</v>
      </c>
      <c r="I36" t="s">
        <v>3</v>
      </c>
      <c r="Z36" s="2">
        <v>0.25</v>
      </c>
      <c r="AA36" s="2">
        <v>0</v>
      </c>
      <c r="AB36" s="2">
        <v>0</v>
      </c>
      <c r="AC36" s="2">
        <v>0</v>
      </c>
      <c r="AD36" s="2">
        <v>0</v>
      </c>
      <c r="AE36">
        <v>20000</v>
      </c>
      <c r="AF36">
        <v>800</v>
      </c>
      <c r="AG36">
        <v>3</v>
      </c>
      <c r="AH36" s="1">
        <v>3.5</v>
      </c>
      <c r="AI36" t="s">
        <v>1</v>
      </c>
      <c r="AJ36" t="s">
        <v>0</v>
      </c>
      <c r="AL36" t="s">
        <v>128</v>
      </c>
      <c r="AM3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causes_status_weakness]])*100+COUNTA(R36,T36)*5000+COUNTA(_csv247[[#This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14072.5</v>
      </c>
      <c r="AN36">
        <v>2</v>
      </c>
    </row>
    <row r="37" spans="1:40" x14ac:dyDescent="0.25">
      <c r="A37">
        <v>29</v>
      </c>
      <c r="B37" t="s">
        <v>68</v>
      </c>
      <c r="C37">
        <v>100</v>
      </c>
      <c r="D37">
        <v>15</v>
      </c>
      <c r="E37">
        <v>16</v>
      </c>
      <c r="F37">
        <v>4</v>
      </c>
      <c r="G37">
        <v>3</v>
      </c>
      <c r="H37">
        <v>18</v>
      </c>
      <c r="I37" t="s">
        <v>3</v>
      </c>
      <c r="Q37" t="s">
        <v>133</v>
      </c>
      <c r="Y37" s="10">
        <f>_csv247[[#This Row],[entity 23: XP_new (While entity 24 give a rough idea of where place the monsters, the XP is the fine tuning. start with the lowest XP and use higher XP monsters, the further the heroes are venturing out)]]*13</f>
        <v>215436</v>
      </c>
      <c r="Z37" s="2">
        <v>0</v>
      </c>
      <c r="AA37" s="2">
        <v>0</v>
      </c>
      <c r="AB37" s="2">
        <v>0.8</v>
      </c>
      <c r="AC37" s="2">
        <v>0</v>
      </c>
      <c r="AD37" s="2">
        <v>0</v>
      </c>
      <c r="AE37">
        <v>16000</v>
      </c>
      <c r="AF37">
        <v>250</v>
      </c>
      <c r="AG37">
        <v>3</v>
      </c>
      <c r="AH37" s="1">
        <v>3.5</v>
      </c>
      <c r="AI37" t="s">
        <v>1</v>
      </c>
      <c r="AJ37" t="s">
        <v>0</v>
      </c>
      <c r="AL37" t="s">
        <v>128</v>
      </c>
      <c r="AM3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causes_status_weakness]])*100+COUNTA(R37,T37)*5000+COUNTA(_csv247[[#This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16572</v>
      </c>
      <c r="AN37">
        <v>2</v>
      </c>
    </row>
    <row r="38" spans="1:40" x14ac:dyDescent="0.25">
      <c r="A38">
        <v>71</v>
      </c>
      <c r="B38" t="s">
        <v>66</v>
      </c>
      <c r="C38">
        <v>150</v>
      </c>
      <c r="D38">
        <v>10</v>
      </c>
      <c r="E38">
        <v>6</v>
      </c>
      <c r="F38">
        <v>2</v>
      </c>
      <c r="G38">
        <v>2</v>
      </c>
      <c r="H38">
        <v>50</v>
      </c>
      <c r="I38" t="s">
        <v>3</v>
      </c>
      <c r="Y38" s="10" t="s">
        <v>133</v>
      </c>
      <c r="Z38" s="2">
        <v>0.9</v>
      </c>
      <c r="AA38" s="2">
        <v>0</v>
      </c>
      <c r="AB38" s="2">
        <v>0.6</v>
      </c>
      <c r="AC38" s="2">
        <v>0</v>
      </c>
      <c r="AD38" s="2">
        <v>0</v>
      </c>
      <c r="AE38">
        <v>16000</v>
      </c>
      <c r="AF38">
        <v>300</v>
      </c>
      <c r="AG38">
        <v>3</v>
      </c>
      <c r="AH38" s="1">
        <v>3.5</v>
      </c>
      <c r="AI38" t="s">
        <v>1</v>
      </c>
      <c r="AJ38" t="s">
        <v>0</v>
      </c>
      <c r="AL38" t="s">
        <v>126</v>
      </c>
      <c r="AM3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causes_status_weakness]])*100+COUNTA(R38,T38)*5000+COUNTA(_csv247[[#This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17562</v>
      </c>
      <c r="AN38">
        <v>3</v>
      </c>
    </row>
    <row r="39" spans="1:40" x14ac:dyDescent="0.25">
      <c r="A39">
        <v>1</v>
      </c>
      <c r="B39" t="s">
        <v>63</v>
      </c>
      <c r="C39">
        <v>100</v>
      </c>
      <c r="D39">
        <v>15</v>
      </c>
      <c r="E39">
        <v>35</v>
      </c>
      <c r="F39">
        <v>4</v>
      </c>
      <c r="G39">
        <v>5</v>
      </c>
      <c r="H39">
        <v>30</v>
      </c>
      <c r="I39" t="s">
        <v>3</v>
      </c>
      <c r="J39" t="s">
        <v>133</v>
      </c>
      <c r="Y39" s="10">
        <f>_csv247[[#This Row],[entity 23: XP_new (While entity 24 give a rough idea of where place the monsters, the XP is the fine tuning. start with the lowest XP and use higher XP monsters, the further the heroes are venturing out)]]*13</f>
        <v>235950</v>
      </c>
      <c r="Z39" s="2">
        <v>0.15</v>
      </c>
      <c r="AA39" s="2">
        <v>0.15</v>
      </c>
      <c r="AB39" s="2">
        <v>0</v>
      </c>
      <c r="AC39" s="2">
        <v>0.15</v>
      </c>
      <c r="AD39" s="2">
        <v>0.15</v>
      </c>
      <c r="AE39">
        <v>20000</v>
      </c>
      <c r="AF39">
        <v>2400</v>
      </c>
      <c r="AG39">
        <v>3</v>
      </c>
      <c r="AH39" s="1">
        <v>3.5</v>
      </c>
      <c r="AI39" t="s">
        <v>1</v>
      </c>
      <c r="AJ39" t="s">
        <v>0</v>
      </c>
      <c r="AL39" t="s">
        <v>130</v>
      </c>
      <c r="AM3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causes_status_weakness]])*100+COUNTA(R39,T39)*5000+COUNTA(_csv247[[#This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18150</v>
      </c>
      <c r="AN39">
        <v>3</v>
      </c>
    </row>
    <row r="40" spans="1:40" x14ac:dyDescent="0.25">
      <c r="A40">
        <v>65</v>
      </c>
      <c r="B40" t="s">
        <v>61</v>
      </c>
      <c r="C40">
        <v>75</v>
      </c>
      <c r="D40">
        <v>20</v>
      </c>
      <c r="E40">
        <v>20</v>
      </c>
      <c r="F40">
        <v>8</v>
      </c>
      <c r="G40">
        <v>3</v>
      </c>
      <c r="H40">
        <v>30</v>
      </c>
      <c r="I40" t="s">
        <v>3</v>
      </c>
      <c r="Z40" s="2">
        <v>0.1</v>
      </c>
      <c r="AA40" s="2">
        <v>0.2</v>
      </c>
      <c r="AB40" s="2">
        <v>0</v>
      </c>
      <c r="AC40" s="2">
        <v>0.2</v>
      </c>
      <c r="AD40" s="2">
        <v>0.2</v>
      </c>
      <c r="AE40">
        <v>20000</v>
      </c>
      <c r="AF40">
        <v>500</v>
      </c>
      <c r="AG40">
        <v>3</v>
      </c>
      <c r="AH40" s="1">
        <v>3.5</v>
      </c>
      <c r="AI40" t="s">
        <v>1</v>
      </c>
      <c r="AJ40" t="s">
        <v>0</v>
      </c>
      <c r="AL40" t="s">
        <v>130</v>
      </c>
      <c r="AM4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causes_status_weakness]])*100+COUNTA(R40,T40)*5000+COUNTA(_csv247[[#This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18165</v>
      </c>
      <c r="AN40">
        <v>3</v>
      </c>
    </row>
    <row r="41" spans="1:40" x14ac:dyDescent="0.25">
      <c r="A41">
        <v>26</v>
      </c>
      <c r="B41" t="s">
        <v>57</v>
      </c>
      <c r="C41">
        <v>75</v>
      </c>
      <c r="D41">
        <v>20</v>
      </c>
      <c r="E41">
        <v>40</v>
      </c>
      <c r="F41">
        <v>3</v>
      </c>
      <c r="G41">
        <v>3</v>
      </c>
      <c r="H41">
        <v>30</v>
      </c>
      <c r="I41" t="s">
        <v>14</v>
      </c>
      <c r="Y41" s="10" t="s">
        <v>133</v>
      </c>
      <c r="Z41" s="2">
        <v>0.27</v>
      </c>
      <c r="AA41" s="2">
        <v>1</v>
      </c>
      <c r="AB41" s="2">
        <v>1</v>
      </c>
      <c r="AC41" s="2">
        <v>0</v>
      </c>
      <c r="AD41" s="2">
        <v>0</v>
      </c>
      <c r="AE41">
        <v>30000</v>
      </c>
      <c r="AF41">
        <v>200</v>
      </c>
      <c r="AG41">
        <v>3</v>
      </c>
      <c r="AH41" s="1">
        <v>3.5</v>
      </c>
      <c r="AI41" t="s">
        <v>1</v>
      </c>
      <c r="AJ41" t="s">
        <v>0</v>
      </c>
      <c r="AL41" t="s">
        <v>127</v>
      </c>
      <c r="AM4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causes_status_weakness]])*100+COUNTA(R41,T41)*5000+COUNTA(_csv247[[#This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18682.5</v>
      </c>
      <c r="AN41">
        <v>3</v>
      </c>
    </row>
    <row r="42" spans="1:40" x14ac:dyDescent="0.25">
      <c r="A42">
        <v>25</v>
      </c>
      <c r="B42" t="s">
        <v>59</v>
      </c>
      <c r="C42">
        <v>150</v>
      </c>
      <c r="D42">
        <v>10</v>
      </c>
      <c r="E42">
        <v>30</v>
      </c>
      <c r="F42">
        <v>2</v>
      </c>
      <c r="G42">
        <v>2</v>
      </c>
      <c r="H42">
        <v>50</v>
      </c>
      <c r="I42" t="s">
        <v>14</v>
      </c>
      <c r="J42" t="s">
        <v>133</v>
      </c>
      <c r="Y42" s="10" t="s">
        <v>133</v>
      </c>
      <c r="Z42" s="2">
        <v>0.05</v>
      </c>
      <c r="AA42" s="2">
        <v>1</v>
      </c>
      <c r="AB42" s="2">
        <v>0</v>
      </c>
      <c r="AC42" s="2">
        <v>0</v>
      </c>
      <c r="AD42" s="2">
        <v>0.5</v>
      </c>
      <c r="AE42">
        <v>25000</v>
      </c>
      <c r="AF42">
        <v>0</v>
      </c>
      <c r="AG42">
        <v>3</v>
      </c>
      <c r="AH42" s="1">
        <v>3.5</v>
      </c>
      <c r="AI42" t="s">
        <v>1</v>
      </c>
      <c r="AJ42" t="s">
        <v>0</v>
      </c>
      <c r="AL42" t="s">
        <v>128</v>
      </c>
      <c r="AM4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causes_status_weakness]])*100+COUNTA(R42,T42)*5000+COUNTA(_csv247[[#This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18985</v>
      </c>
      <c r="AN42">
        <v>3</v>
      </c>
    </row>
    <row r="43" spans="1:40" x14ac:dyDescent="0.25">
      <c r="A43">
        <v>28</v>
      </c>
      <c r="B43" t="s">
        <v>52</v>
      </c>
      <c r="C43">
        <v>100</v>
      </c>
      <c r="D43">
        <v>13</v>
      </c>
      <c r="E43">
        <v>25</v>
      </c>
      <c r="F43">
        <v>1</v>
      </c>
      <c r="G43">
        <v>10</v>
      </c>
      <c r="H43">
        <v>100</v>
      </c>
      <c r="I43" t="s">
        <v>6</v>
      </c>
      <c r="X43" t="s">
        <v>133</v>
      </c>
      <c r="Z43" s="2">
        <v>0.15</v>
      </c>
      <c r="AA43" s="2">
        <v>0</v>
      </c>
      <c r="AB43" s="2">
        <v>1</v>
      </c>
      <c r="AC43" s="2">
        <v>0</v>
      </c>
      <c r="AD43" s="2">
        <v>0</v>
      </c>
      <c r="AE43">
        <v>32000</v>
      </c>
      <c r="AF43">
        <v>250</v>
      </c>
      <c r="AG43">
        <v>4</v>
      </c>
      <c r="AH43" s="1">
        <v>3.5</v>
      </c>
      <c r="AI43" t="s">
        <v>1</v>
      </c>
      <c r="AJ43" t="s">
        <v>18</v>
      </c>
      <c r="AL43" t="s">
        <v>129</v>
      </c>
      <c r="AM4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causes_status_weakness]])*100+COUNTA(R43,T43)*5000+COUNTA(_csv247[[#This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19525</v>
      </c>
      <c r="AN43">
        <v>3</v>
      </c>
    </row>
    <row r="44" spans="1:40" x14ac:dyDescent="0.25">
      <c r="A44">
        <v>24</v>
      </c>
      <c r="B44" t="s">
        <v>71</v>
      </c>
      <c r="C44">
        <v>100</v>
      </c>
      <c r="D44">
        <v>20</v>
      </c>
      <c r="E44">
        <v>20</v>
      </c>
      <c r="F44">
        <v>3</v>
      </c>
      <c r="G44">
        <v>4</v>
      </c>
      <c r="H44">
        <v>24</v>
      </c>
      <c r="I44" t="s">
        <v>3</v>
      </c>
      <c r="J44" t="s">
        <v>133</v>
      </c>
      <c r="Y44" s="10">
        <f>_csv247[[#This Row],[entity 23: XP_new (While entity 24 give a rough idea of where place the monsters, the XP is the fine tuning. start with the lowest XP and use higher XP monsters, the further the heroes are venturing out)]]*13</f>
        <v>278330</v>
      </c>
      <c r="Z44" s="2">
        <v>7.0000000000000007E-2</v>
      </c>
      <c r="AA44" s="2">
        <v>0.2</v>
      </c>
      <c r="AB44" s="2">
        <v>0</v>
      </c>
      <c r="AC44" s="2">
        <v>0.2</v>
      </c>
      <c r="AD44" s="2">
        <v>0</v>
      </c>
      <c r="AE44">
        <v>12000</v>
      </c>
      <c r="AF44">
        <v>1250</v>
      </c>
      <c r="AG44">
        <v>2</v>
      </c>
      <c r="AH44" s="1">
        <v>3.5</v>
      </c>
      <c r="AI44" t="s">
        <v>1</v>
      </c>
      <c r="AJ44" t="s">
        <v>0</v>
      </c>
      <c r="AL44" t="s">
        <v>130</v>
      </c>
      <c r="AM4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causes_status_weakness]])*100+COUNTA(R44,T44)*5000+COUNTA(_csv247[[#This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21410</v>
      </c>
      <c r="AN44">
        <v>3</v>
      </c>
    </row>
    <row r="45" spans="1:40" x14ac:dyDescent="0.25">
      <c r="A45">
        <v>16</v>
      </c>
      <c r="B45" t="s">
        <v>69</v>
      </c>
      <c r="C45">
        <v>100</v>
      </c>
      <c r="D45">
        <v>20</v>
      </c>
      <c r="E45">
        <v>30</v>
      </c>
      <c r="F45">
        <v>4</v>
      </c>
      <c r="G45">
        <v>4</v>
      </c>
      <c r="H45">
        <v>32</v>
      </c>
      <c r="I45" t="s">
        <v>3</v>
      </c>
      <c r="P45" t="s">
        <v>133</v>
      </c>
      <c r="Y45" s="10">
        <f>_csv247[[#This Row],[entity 23: XP_new (While entity 24 give a rough idea of where place the monsters, the XP is the fine tuning. start with the lowest XP and use higher XP monsters, the further the heroes are venturing out)]]*13</f>
        <v>306280</v>
      </c>
      <c r="Z45" s="2">
        <v>0.5</v>
      </c>
      <c r="AA45" s="2">
        <v>0</v>
      </c>
      <c r="AB45" s="2">
        <v>0</v>
      </c>
      <c r="AC45" s="2">
        <v>0.4</v>
      </c>
      <c r="AD45" s="2">
        <v>0.4</v>
      </c>
      <c r="AE45">
        <v>16000</v>
      </c>
      <c r="AF45">
        <v>0</v>
      </c>
      <c r="AG45">
        <v>2</v>
      </c>
      <c r="AH45" s="1">
        <v>3.5</v>
      </c>
      <c r="AI45" t="s">
        <v>1</v>
      </c>
      <c r="AJ45" t="s">
        <v>0</v>
      </c>
      <c r="AL45" t="s">
        <v>125</v>
      </c>
      <c r="AM4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causes_status_weakness]])*100+COUNTA(R45,T45)*5000+COUNTA(_csv247[[#This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23560</v>
      </c>
      <c r="AN45">
        <v>3</v>
      </c>
    </row>
    <row r="46" spans="1:40" x14ac:dyDescent="0.25">
      <c r="A46">
        <v>60</v>
      </c>
      <c r="B46" t="s">
        <v>49</v>
      </c>
      <c r="C46">
        <v>150</v>
      </c>
      <c r="D46">
        <v>15</v>
      </c>
      <c r="E46">
        <v>25</v>
      </c>
      <c r="F46">
        <v>1</v>
      </c>
      <c r="G46">
        <v>4</v>
      </c>
      <c r="H46">
        <v>80</v>
      </c>
      <c r="I46" t="s">
        <v>6</v>
      </c>
      <c r="J46" t="s">
        <v>133</v>
      </c>
      <c r="Z46" s="2">
        <v>0.1</v>
      </c>
      <c r="AA46" s="2">
        <v>0</v>
      </c>
      <c r="AB46" s="2">
        <v>0.9</v>
      </c>
      <c r="AC46" s="2">
        <v>0</v>
      </c>
      <c r="AD46" s="2">
        <v>0</v>
      </c>
      <c r="AE46">
        <v>50000</v>
      </c>
      <c r="AF46">
        <v>400</v>
      </c>
      <c r="AG46">
        <v>4</v>
      </c>
      <c r="AH46" s="1">
        <v>3.5</v>
      </c>
      <c r="AI46" t="s">
        <v>1</v>
      </c>
      <c r="AJ46" t="s">
        <v>18</v>
      </c>
      <c r="AL46" t="s">
        <v>129</v>
      </c>
      <c r="AM4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causes_status_weakness]])*100+COUNTA(R46,T46)*5000+COUNTA(_csv247[[#This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25150</v>
      </c>
      <c r="AN46">
        <v>3</v>
      </c>
    </row>
    <row r="47" spans="1:40" x14ac:dyDescent="0.25">
      <c r="A47">
        <v>72</v>
      </c>
      <c r="B47" t="s">
        <v>47</v>
      </c>
      <c r="C47">
        <v>125</v>
      </c>
      <c r="D47">
        <v>15</v>
      </c>
      <c r="E47">
        <v>25</v>
      </c>
      <c r="F47">
        <v>3</v>
      </c>
      <c r="G47">
        <v>3</v>
      </c>
      <c r="H47">
        <v>45</v>
      </c>
      <c r="I47" t="s">
        <v>3</v>
      </c>
      <c r="V47">
        <v>0.05</v>
      </c>
      <c r="Y47" s="10">
        <f>_csv247[[#This Row],[entity 23: XP_new (While entity 24 give a rough idea of where place the monsters, the XP is the fine tuning. start with the lowest XP and use higher XP monsters, the further the heroes are venturing out)]]*13</f>
        <v>332150</v>
      </c>
      <c r="Z47" s="2">
        <v>0</v>
      </c>
      <c r="AA47" s="2">
        <v>0</v>
      </c>
      <c r="AB47" s="2">
        <v>0</v>
      </c>
      <c r="AC47" s="2">
        <v>0</v>
      </c>
      <c r="AD47" s="2">
        <v>0</v>
      </c>
      <c r="AE47">
        <v>50000</v>
      </c>
      <c r="AF47">
        <v>2700</v>
      </c>
      <c r="AG47">
        <v>4</v>
      </c>
      <c r="AH47" s="1">
        <v>3.5</v>
      </c>
      <c r="AI47" t="s">
        <v>1</v>
      </c>
      <c r="AJ47" t="s">
        <v>0</v>
      </c>
      <c r="AL47" t="s">
        <v>128</v>
      </c>
      <c r="AM4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causes_status_weakness]])*100+COUNTA(R47,T47)*5000+COUNTA(_csv247[[#This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25550</v>
      </c>
      <c r="AN47">
        <v>3</v>
      </c>
    </row>
    <row r="48" spans="1:40" x14ac:dyDescent="0.25">
      <c r="A48">
        <v>2</v>
      </c>
      <c r="B48" t="s">
        <v>60</v>
      </c>
      <c r="C48">
        <v>175</v>
      </c>
      <c r="D48">
        <v>15</v>
      </c>
      <c r="E48">
        <v>30</v>
      </c>
      <c r="F48">
        <v>2</v>
      </c>
      <c r="G48">
        <v>2</v>
      </c>
      <c r="H48">
        <v>6</v>
      </c>
      <c r="I48" t="s">
        <v>3</v>
      </c>
      <c r="J48" t="s">
        <v>133</v>
      </c>
      <c r="Y48" s="10">
        <f>_csv247[[#This Row],[entity 23: XP_new (While entity 24 give a rough idea of where place the monsters, the XP is the fine tuning. start with the lowest XP and use higher XP monsters, the further the heroes are venturing out)]]*13</f>
        <v>345670</v>
      </c>
      <c r="Z48" s="2">
        <v>0</v>
      </c>
      <c r="AA48" s="2">
        <v>0</v>
      </c>
      <c r="AB48" s="2">
        <v>0</v>
      </c>
      <c r="AC48" s="2">
        <v>0</v>
      </c>
      <c r="AD48" s="2">
        <v>0</v>
      </c>
      <c r="AE48">
        <v>25000</v>
      </c>
      <c r="AF48">
        <v>600</v>
      </c>
      <c r="AG48">
        <v>3</v>
      </c>
      <c r="AH48" s="1">
        <v>3.5</v>
      </c>
      <c r="AI48" t="s">
        <v>1</v>
      </c>
      <c r="AJ48" t="s">
        <v>0</v>
      </c>
      <c r="AL48" t="s">
        <v>130</v>
      </c>
      <c r="AM4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causes_status_weakness]])*100+COUNTA(R48,T48)*5000+COUNTA(_csv247[[#This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26590</v>
      </c>
      <c r="AN48">
        <v>3</v>
      </c>
    </row>
    <row r="49" spans="1:40" x14ac:dyDescent="0.25">
      <c r="A49">
        <v>27</v>
      </c>
      <c r="B49" t="s">
        <v>56</v>
      </c>
      <c r="C49">
        <v>125</v>
      </c>
      <c r="D49">
        <v>15</v>
      </c>
      <c r="E49">
        <v>30</v>
      </c>
      <c r="F49">
        <v>4</v>
      </c>
      <c r="G49">
        <v>3</v>
      </c>
      <c r="H49">
        <v>45</v>
      </c>
      <c r="I49" t="s">
        <v>3</v>
      </c>
      <c r="T49" t="s">
        <v>133</v>
      </c>
      <c r="Y49" s="10" t="s">
        <v>133</v>
      </c>
      <c r="Z49" s="2">
        <v>0.1</v>
      </c>
      <c r="AA49" s="2">
        <v>0</v>
      </c>
      <c r="AB49" s="2">
        <v>0</v>
      </c>
      <c r="AC49" s="2">
        <v>0</v>
      </c>
      <c r="AD49" s="2">
        <v>0</v>
      </c>
      <c r="AE49">
        <v>30000</v>
      </c>
      <c r="AF49">
        <v>900</v>
      </c>
      <c r="AG49">
        <v>3</v>
      </c>
      <c r="AH49" s="1">
        <v>3.5</v>
      </c>
      <c r="AI49" t="s">
        <v>1</v>
      </c>
      <c r="AJ49" t="s">
        <v>0</v>
      </c>
      <c r="AL49" t="s">
        <v>127</v>
      </c>
      <c r="AM4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causes_status_weakness]])*100+COUNTA(R49,T49)*5000+COUNTA(_csv247[[#This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26755</v>
      </c>
      <c r="AN49">
        <v>3</v>
      </c>
    </row>
    <row r="50" spans="1:40" x14ac:dyDescent="0.25">
      <c r="A50">
        <v>14</v>
      </c>
      <c r="B50" t="s">
        <v>51</v>
      </c>
      <c r="C50">
        <v>125</v>
      </c>
      <c r="D50">
        <v>20</v>
      </c>
      <c r="E50">
        <v>40</v>
      </c>
      <c r="F50">
        <v>4</v>
      </c>
      <c r="G50">
        <v>2</v>
      </c>
      <c r="H50">
        <v>40</v>
      </c>
      <c r="I50" t="s">
        <v>3</v>
      </c>
      <c r="O50" t="s">
        <v>133</v>
      </c>
      <c r="Z50" s="2">
        <v>0.1</v>
      </c>
      <c r="AA50" s="2">
        <v>0</v>
      </c>
      <c r="AB50" s="2">
        <v>0.3</v>
      </c>
      <c r="AC50" s="2">
        <v>0</v>
      </c>
      <c r="AD50" s="2">
        <v>0</v>
      </c>
      <c r="AE50">
        <v>40000</v>
      </c>
      <c r="AF50">
        <v>0</v>
      </c>
      <c r="AG50">
        <v>4</v>
      </c>
      <c r="AH50" s="1">
        <v>3.5</v>
      </c>
      <c r="AI50" t="s">
        <v>1</v>
      </c>
      <c r="AJ50" t="s">
        <v>0</v>
      </c>
      <c r="AL50" t="s">
        <v>125</v>
      </c>
      <c r="AM5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causes_status_weakness]])*100+COUNTA(R50,T50)*5000+COUNTA(_csv247[[#This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28960</v>
      </c>
      <c r="AN50">
        <v>3</v>
      </c>
    </row>
    <row r="51" spans="1:40" x14ac:dyDescent="0.25">
      <c r="A51">
        <v>23</v>
      </c>
      <c r="B51" t="s">
        <v>46</v>
      </c>
      <c r="C51">
        <v>100</v>
      </c>
      <c r="D51">
        <v>25</v>
      </c>
      <c r="E51">
        <v>35</v>
      </c>
      <c r="F51">
        <v>4</v>
      </c>
      <c r="G51">
        <v>50</v>
      </c>
      <c r="H51">
        <v>50</v>
      </c>
      <c r="I51" t="s">
        <v>6</v>
      </c>
      <c r="O51" t="s">
        <v>133</v>
      </c>
      <c r="Z51" s="2">
        <v>0.9</v>
      </c>
      <c r="AA51" s="2">
        <v>0</v>
      </c>
      <c r="AB51" s="2">
        <v>0</v>
      </c>
      <c r="AC51" s="2">
        <v>0</v>
      </c>
      <c r="AD51" s="2">
        <v>0</v>
      </c>
      <c r="AE51">
        <v>60000</v>
      </c>
      <c r="AF51">
        <v>300</v>
      </c>
      <c r="AG51">
        <v>4</v>
      </c>
      <c r="AH51" s="1">
        <v>3.5</v>
      </c>
      <c r="AI51" t="s">
        <v>1</v>
      </c>
      <c r="AJ51" t="s">
        <v>0</v>
      </c>
      <c r="AL51" t="s">
        <v>127</v>
      </c>
      <c r="AM5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causes_status_weakness]])*100+COUNTA(R51,T51)*5000+COUNTA(_csv247[[#This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33000</v>
      </c>
      <c r="AN51">
        <v>3</v>
      </c>
    </row>
    <row r="52" spans="1:40" x14ac:dyDescent="0.25">
      <c r="A52">
        <v>44</v>
      </c>
      <c r="B52" t="s">
        <v>64</v>
      </c>
      <c r="C52">
        <v>150</v>
      </c>
      <c r="D52">
        <v>20</v>
      </c>
      <c r="E52">
        <v>30</v>
      </c>
      <c r="F52">
        <v>1</v>
      </c>
      <c r="G52">
        <v>50</v>
      </c>
      <c r="H52">
        <v>50</v>
      </c>
      <c r="I52" t="s">
        <v>14</v>
      </c>
      <c r="J52" t="s">
        <v>133</v>
      </c>
      <c r="Y52" s="10">
        <f>_csv247[[#This Row],[entity 23: XP_new (While entity 24 give a rough idea of where place the monsters, the XP is the fine tuning. start with the lowest XP and use higher XP monsters, the further the heroes are venturing out)]]*13</f>
        <v>436150</v>
      </c>
      <c r="Z52" s="2">
        <v>0.1</v>
      </c>
      <c r="AA52" s="2">
        <v>1</v>
      </c>
      <c r="AB52" s="2">
        <v>0</v>
      </c>
      <c r="AC52" s="2">
        <v>0</v>
      </c>
      <c r="AD52" s="2">
        <v>0.2</v>
      </c>
      <c r="AE52">
        <v>18000</v>
      </c>
      <c r="AF52">
        <v>3500</v>
      </c>
      <c r="AG52">
        <v>3</v>
      </c>
      <c r="AH52" s="1">
        <v>3.5</v>
      </c>
      <c r="AI52" t="s">
        <v>1</v>
      </c>
      <c r="AJ52" t="s">
        <v>0</v>
      </c>
      <c r="AL52" t="s">
        <v>125</v>
      </c>
      <c r="AM5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causes_status_weakness]])*100+COUNTA(R52,T52)*5000+COUNTA(_csv247[[#This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33550</v>
      </c>
      <c r="AN52">
        <v>3</v>
      </c>
    </row>
    <row r="53" spans="1:40" x14ac:dyDescent="0.25">
      <c r="A53">
        <v>48</v>
      </c>
      <c r="B53" t="s">
        <v>55</v>
      </c>
      <c r="C53">
        <v>50</v>
      </c>
      <c r="D53">
        <v>18</v>
      </c>
      <c r="E53">
        <v>40</v>
      </c>
      <c r="F53">
        <v>1</v>
      </c>
      <c r="G53">
        <v>4</v>
      </c>
      <c r="H53">
        <v>16</v>
      </c>
      <c r="I53" t="s">
        <v>6</v>
      </c>
      <c r="W53">
        <v>0.5</v>
      </c>
      <c r="Z53" s="2">
        <v>0.9</v>
      </c>
      <c r="AA53" s="2">
        <v>0</v>
      </c>
      <c r="AB53" s="2">
        <v>0</v>
      </c>
      <c r="AC53" s="2">
        <v>0</v>
      </c>
      <c r="AD53" s="2">
        <v>0</v>
      </c>
      <c r="AE53">
        <v>30000</v>
      </c>
      <c r="AF53">
        <v>250</v>
      </c>
      <c r="AG53">
        <v>3</v>
      </c>
      <c r="AH53" s="1">
        <v>3.5</v>
      </c>
      <c r="AI53" t="s">
        <v>1</v>
      </c>
      <c r="AJ53" t="s">
        <v>0</v>
      </c>
      <c r="AL53" t="s">
        <v>127</v>
      </c>
      <c r="AM5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causes_status_weakness]])*100+COUNTA(R53,T53)*5000+COUNTA(_csv247[[#This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34850</v>
      </c>
      <c r="AN53">
        <v>3</v>
      </c>
    </row>
    <row r="54" spans="1:40" x14ac:dyDescent="0.25">
      <c r="A54">
        <v>59</v>
      </c>
      <c r="B54" t="s">
        <v>34</v>
      </c>
      <c r="C54">
        <v>200</v>
      </c>
      <c r="D54">
        <v>20</v>
      </c>
      <c r="E54">
        <v>40</v>
      </c>
      <c r="F54">
        <v>1</v>
      </c>
      <c r="G54">
        <v>4</v>
      </c>
      <c r="H54">
        <v>60</v>
      </c>
      <c r="I54" t="s">
        <v>6</v>
      </c>
      <c r="Z54" s="2">
        <v>0.17</v>
      </c>
      <c r="AA54" s="2">
        <v>0.4</v>
      </c>
      <c r="AB54" s="2">
        <v>0</v>
      </c>
      <c r="AC54" s="2">
        <v>0.4</v>
      </c>
      <c r="AD54" s="2">
        <v>0.4</v>
      </c>
      <c r="AE54">
        <v>120000</v>
      </c>
      <c r="AF54">
        <v>6450</v>
      </c>
      <c r="AG54">
        <v>5</v>
      </c>
      <c r="AH54" s="1">
        <v>3.2</v>
      </c>
      <c r="AI54" t="s">
        <v>1</v>
      </c>
      <c r="AJ54" t="s">
        <v>0</v>
      </c>
      <c r="AL54" t="s">
        <v>130</v>
      </c>
      <c r="AM5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causes_status_weakness]])*100+COUNTA(R54,T54)*5000+COUNTA(_csv247[[#This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44020</v>
      </c>
      <c r="AN54">
        <v>3</v>
      </c>
    </row>
    <row r="55" spans="1:40" x14ac:dyDescent="0.25">
      <c r="A55">
        <v>67</v>
      </c>
      <c r="B55" t="s">
        <v>45</v>
      </c>
      <c r="C55">
        <v>100</v>
      </c>
      <c r="D55">
        <v>35</v>
      </c>
      <c r="E55">
        <v>80</v>
      </c>
      <c r="F55">
        <v>2</v>
      </c>
      <c r="G55">
        <v>6</v>
      </c>
      <c r="H55">
        <v>120</v>
      </c>
      <c r="I55" t="s">
        <v>3</v>
      </c>
      <c r="Z55" s="2">
        <v>0</v>
      </c>
      <c r="AA55" s="2">
        <v>0</v>
      </c>
      <c r="AB55" s="2">
        <v>0.8</v>
      </c>
      <c r="AC55" s="2">
        <v>0</v>
      </c>
      <c r="AD55" s="2">
        <v>0</v>
      </c>
      <c r="AE55">
        <v>60000</v>
      </c>
      <c r="AF55">
        <v>0</v>
      </c>
      <c r="AG55">
        <v>4</v>
      </c>
      <c r="AH55" s="1">
        <v>3.5</v>
      </c>
      <c r="AI55" t="s">
        <v>1</v>
      </c>
      <c r="AJ55" t="s">
        <v>0</v>
      </c>
      <c r="AL55" t="s">
        <v>127</v>
      </c>
      <c r="AM5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causes_status_weakness]])*100+COUNTA(R55,T55)*5000+COUNTA(_csv247[[#This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45880</v>
      </c>
      <c r="AN55">
        <v>3</v>
      </c>
    </row>
    <row r="56" spans="1:40" x14ac:dyDescent="0.25">
      <c r="A56">
        <v>47</v>
      </c>
      <c r="B56" t="s">
        <v>35</v>
      </c>
      <c r="C56">
        <v>250</v>
      </c>
      <c r="D56">
        <v>15</v>
      </c>
      <c r="E56">
        <v>30</v>
      </c>
      <c r="F56">
        <v>2</v>
      </c>
      <c r="G56">
        <v>2</v>
      </c>
      <c r="H56">
        <v>80</v>
      </c>
      <c r="I56" t="s">
        <v>3</v>
      </c>
      <c r="P56" t="s">
        <v>133</v>
      </c>
      <c r="Z56" s="2">
        <v>0.6</v>
      </c>
      <c r="AA56" s="2">
        <v>0</v>
      </c>
      <c r="AB56" s="2">
        <v>0.8</v>
      </c>
      <c r="AC56" s="2">
        <v>0.8</v>
      </c>
      <c r="AD56" s="2">
        <v>0.8</v>
      </c>
      <c r="AE56">
        <v>120000</v>
      </c>
      <c r="AF56">
        <v>1250</v>
      </c>
      <c r="AG56">
        <v>5</v>
      </c>
      <c r="AH56" s="1">
        <v>3.5</v>
      </c>
      <c r="AI56" t="s">
        <v>1</v>
      </c>
      <c r="AJ56" t="s">
        <v>0</v>
      </c>
      <c r="AL56" t="s">
        <v>129</v>
      </c>
      <c r="AM5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causes_status_weakness]])*100+COUNTA(R56,T56)*5000+COUNTA(_csv247[[#This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47560</v>
      </c>
      <c r="AN56">
        <v>4</v>
      </c>
    </row>
    <row r="57" spans="1:40" x14ac:dyDescent="0.25">
      <c r="A57">
        <v>15</v>
      </c>
      <c r="B57" t="s">
        <v>44</v>
      </c>
      <c r="C57">
        <v>300</v>
      </c>
      <c r="D57">
        <v>15</v>
      </c>
      <c r="E57">
        <v>30</v>
      </c>
      <c r="F57">
        <v>2</v>
      </c>
      <c r="G57">
        <v>20</v>
      </c>
      <c r="H57">
        <v>200</v>
      </c>
      <c r="I57" t="s">
        <v>29</v>
      </c>
      <c r="L57" t="s">
        <v>133</v>
      </c>
      <c r="Z57" s="2">
        <v>0.1</v>
      </c>
      <c r="AA57" s="2">
        <v>0</v>
      </c>
      <c r="AB57" s="2">
        <v>0</v>
      </c>
      <c r="AC57" s="2">
        <v>0</v>
      </c>
      <c r="AD57" s="2">
        <v>0</v>
      </c>
      <c r="AE57">
        <v>70000</v>
      </c>
      <c r="AF57">
        <v>400</v>
      </c>
      <c r="AG57">
        <v>4</v>
      </c>
      <c r="AH57" s="1">
        <v>3.5</v>
      </c>
      <c r="AI57" t="s">
        <v>1</v>
      </c>
      <c r="AJ57" t="s">
        <v>0</v>
      </c>
      <c r="AL57" t="s">
        <v>127</v>
      </c>
      <c r="AM5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causes_status_weakness]])*100+COUNTA(R57,T57)*5000+COUNTA(_csv247[[#This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52000</v>
      </c>
      <c r="AN57">
        <v>4</v>
      </c>
    </row>
    <row r="58" spans="1:40" x14ac:dyDescent="0.25">
      <c r="A58">
        <v>34</v>
      </c>
      <c r="B58" t="s">
        <v>50</v>
      </c>
      <c r="C58">
        <v>250</v>
      </c>
      <c r="D58">
        <v>20</v>
      </c>
      <c r="E58">
        <v>15</v>
      </c>
      <c r="F58">
        <v>1</v>
      </c>
      <c r="G58">
        <v>75</v>
      </c>
      <c r="H58">
        <v>150</v>
      </c>
      <c r="I58" t="s">
        <v>3</v>
      </c>
      <c r="Z58" s="2">
        <v>0.27</v>
      </c>
      <c r="AA58" s="2">
        <v>0.8</v>
      </c>
      <c r="AB58" s="2">
        <v>0</v>
      </c>
      <c r="AC58" s="2">
        <v>0.8</v>
      </c>
      <c r="AD58" s="2">
        <v>0.8</v>
      </c>
      <c r="AE58">
        <v>40000</v>
      </c>
      <c r="AF58">
        <v>200</v>
      </c>
      <c r="AG58">
        <v>4</v>
      </c>
      <c r="AH58" s="1">
        <v>3.5</v>
      </c>
      <c r="AI58" t="s">
        <v>1</v>
      </c>
      <c r="AJ58" t="s">
        <v>0</v>
      </c>
      <c r="AL58" t="s">
        <v>127</v>
      </c>
      <c r="AM5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causes_status_weakness]])*100+COUNTA(R58,T58)*5000+COUNTA(_csv247[[#This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58362.5</v>
      </c>
      <c r="AN58">
        <v>4</v>
      </c>
    </row>
    <row r="59" spans="1:40" x14ac:dyDescent="0.25">
      <c r="A59">
        <v>38</v>
      </c>
      <c r="B59" t="s">
        <v>36</v>
      </c>
      <c r="C59">
        <v>200</v>
      </c>
      <c r="D59">
        <v>12</v>
      </c>
      <c r="E59">
        <v>50</v>
      </c>
      <c r="F59">
        <v>1</v>
      </c>
      <c r="G59">
        <v>5</v>
      </c>
      <c r="H59">
        <v>25</v>
      </c>
      <c r="I59" t="s">
        <v>6</v>
      </c>
      <c r="S59" t="s">
        <v>133</v>
      </c>
      <c r="Z59" s="2">
        <v>0.5</v>
      </c>
      <c r="AA59" s="2">
        <v>0</v>
      </c>
      <c r="AB59" s="2">
        <v>0.7</v>
      </c>
      <c r="AC59" s="2">
        <v>0</v>
      </c>
      <c r="AD59" s="2">
        <v>0</v>
      </c>
      <c r="AE59">
        <v>120000</v>
      </c>
      <c r="AF59">
        <v>11000</v>
      </c>
      <c r="AG59">
        <v>5</v>
      </c>
      <c r="AH59" s="1">
        <v>3.5</v>
      </c>
      <c r="AI59" t="s">
        <v>1</v>
      </c>
      <c r="AJ59" t="s">
        <v>18</v>
      </c>
      <c r="AL59" t="s">
        <v>129</v>
      </c>
      <c r="AM5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causes_status_weakness]])*100+COUNTA(R59,T59)*5000+COUNTA(_csv247[[#This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60483</v>
      </c>
      <c r="AN59">
        <v>4</v>
      </c>
    </row>
    <row r="60" spans="1:40" x14ac:dyDescent="0.25">
      <c r="A60">
        <v>54</v>
      </c>
      <c r="B60" t="s">
        <v>40</v>
      </c>
      <c r="C60">
        <v>175</v>
      </c>
      <c r="D60">
        <v>30</v>
      </c>
      <c r="E60">
        <v>30</v>
      </c>
      <c r="F60">
        <v>5</v>
      </c>
      <c r="G60">
        <v>3</v>
      </c>
      <c r="H60">
        <v>90</v>
      </c>
      <c r="I60" t="s">
        <v>3</v>
      </c>
      <c r="J60" t="s">
        <v>133</v>
      </c>
      <c r="Y60" s="10" t="s">
        <v>133</v>
      </c>
      <c r="Z60" s="2">
        <v>0.5</v>
      </c>
      <c r="AA60" s="2">
        <v>0.5</v>
      </c>
      <c r="AB60" s="2">
        <v>0</v>
      </c>
      <c r="AC60" s="2">
        <v>0.5</v>
      </c>
      <c r="AD60" s="2">
        <v>0.5</v>
      </c>
      <c r="AE60">
        <v>50000</v>
      </c>
      <c r="AF60">
        <v>4250</v>
      </c>
      <c r="AG60">
        <v>4</v>
      </c>
      <c r="AH60" s="1">
        <v>3.5</v>
      </c>
      <c r="AI60" t="s">
        <v>1</v>
      </c>
      <c r="AJ60" t="s">
        <v>0</v>
      </c>
      <c r="AL60" t="s">
        <v>130</v>
      </c>
      <c r="AM6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causes_status_weakness]])*100+COUNTA(R60,T60)*5000+COUNTA(_csv247[[#This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63075</v>
      </c>
      <c r="AN60">
        <v>4</v>
      </c>
    </row>
    <row r="61" spans="1:40" x14ac:dyDescent="0.25">
      <c r="A61">
        <v>81</v>
      </c>
      <c r="B61" t="s">
        <v>54</v>
      </c>
      <c r="C61">
        <v>300</v>
      </c>
      <c r="D61">
        <v>20</v>
      </c>
      <c r="E61">
        <v>20</v>
      </c>
      <c r="F61">
        <v>4</v>
      </c>
      <c r="G61">
        <v>4</v>
      </c>
      <c r="H61">
        <v>24</v>
      </c>
      <c r="I61" t="s">
        <v>3</v>
      </c>
      <c r="J61" t="s">
        <v>133</v>
      </c>
      <c r="N61" t="s">
        <v>133</v>
      </c>
      <c r="Z61" s="2">
        <v>0.2</v>
      </c>
      <c r="AA61" s="2">
        <v>0.2</v>
      </c>
      <c r="AB61" s="2">
        <v>0</v>
      </c>
      <c r="AC61" s="2">
        <v>0.2</v>
      </c>
      <c r="AD61" s="2">
        <v>0</v>
      </c>
      <c r="AE61">
        <v>30000</v>
      </c>
      <c r="AF61">
        <v>10250</v>
      </c>
      <c r="AG61">
        <v>3</v>
      </c>
      <c r="AH61" s="1">
        <v>3.5</v>
      </c>
      <c r="AI61" t="s">
        <v>1</v>
      </c>
      <c r="AJ61" t="s">
        <v>0</v>
      </c>
      <c r="AK61" t="s">
        <v>161</v>
      </c>
      <c r="AL61" t="s">
        <v>128</v>
      </c>
      <c r="AM6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causes_status_weakness]])*100+COUNTA(R61,T61)*5000+COUNTA(_csv247[[#This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63120</v>
      </c>
      <c r="AN61">
        <v>4</v>
      </c>
    </row>
    <row r="62" spans="1:40" x14ac:dyDescent="0.25">
      <c r="A62">
        <v>19</v>
      </c>
      <c r="B62" t="s">
        <v>43</v>
      </c>
      <c r="C62">
        <v>500</v>
      </c>
      <c r="D62">
        <v>10</v>
      </c>
      <c r="E62">
        <v>12</v>
      </c>
      <c r="F62">
        <v>2</v>
      </c>
      <c r="G62">
        <v>10</v>
      </c>
      <c r="H62">
        <v>500</v>
      </c>
      <c r="I62" t="s">
        <v>3</v>
      </c>
      <c r="Y62" s="10" t="s">
        <v>133</v>
      </c>
      <c r="Z62" s="2">
        <v>0.27</v>
      </c>
      <c r="AA62" s="2">
        <v>0</v>
      </c>
      <c r="AB62" s="2">
        <v>0</v>
      </c>
      <c r="AC62" s="2">
        <v>0.8</v>
      </c>
      <c r="AD62" s="2">
        <v>0.8</v>
      </c>
      <c r="AE62">
        <v>80000</v>
      </c>
      <c r="AF62">
        <v>0</v>
      </c>
      <c r="AG62">
        <v>4</v>
      </c>
      <c r="AH62" s="1">
        <v>3.5</v>
      </c>
      <c r="AI62" t="s">
        <v>1</v>
      </c>
      <c r="AJ62" t="s">
        <v>0</v>
      </c>
      <c r="AL62" t="s">
        <v>125</v>
      </c>
      <c r="AM6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causes_status_weakness]])*100+COUNTA(R62,T62)*5000+COUNTA(_csv247[[#This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65470</v>
      </c>
      <c r="AN62">
        <v>4</v>
      </c>
    </row>
    <row r="63" spans="1:40" x14ac:dyDescent="0.25">
      <c r="A63">
        <v>84</v>
      </c>
      <c r="B63" t="s">
        <v>33</v>
      </c>
      <c r="C63">
        <v>200</v>
      </c>
      <c r="D63">
        <v>30</v>
      </c>
      <c r="E63">
        <v>50</v>
      </c>
      <c r="F63">
        <v>3</v>
      </c>
      <c r="G63">
        <v>6</v>
      </c>
      <c r="H63">
        <v>60</v>
      </c>
      <c r="I63" t="s">
        <v>6</v>
      </c>
      <c r="O63" t="s">
        <v>133</v>
      </c>
      <c r="Z63" s="2">
        <v>0.9</v>
      </c>
      <c r="AA63" s="2">
        <v>0</v>
      </c>
      <c r="AB63" s="2">
        <v>0</v>
      </c>
      <c r="AC63" s="2">
        <v>0</v>
      </c>
      <c r="AD63" s="2">
        <v>0</v>
      </c>
      <c r="AE63">
        <v>120000</v>
      </c>
      <c r="AF63">
        <v>600</v>
      </c>
      <c r="AG63">
        <v>5</v>
      </c>
      <c r="AH63" s="1">
        <v>3.5</v>
      </c>
      <c r="AI63" t="s">
        <v>1</v>
      </c>
      <c r="AJ63" t="s">
        <v>0</v>
      </c>
      <c r="AK63" t="s">
        <v>162</v>
      </c>
      <c r="AL63" t="s">
        <v>127</v>
      </c>
      <c r="AM6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causes_status_weakness]])*100+COUNTA(R63,T63)*5000+COUNTA(_csv247[[#This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66850</v>
      </c>
      <c r="AN63">
        <v>4</v>
      </c>
    </row>
    <row r="64" spans="1:40" x14ac:dyDescent="0.25">
      <c r="A64">
        <v>41</v>
      </c>
      <c r="B64" t="s">
        <v>39</v>
      </c>
      <c r="C64">
        <v>333</v>
      </c>
      <c r="D64">
        <v>16</v>
      </c>
      <c r="E64">
        <v>33</v>
      </c>
      <c r="F64">
        <v>6</v>
      </c>
      <c r="G64">
        <v>2</v>
      </c>
      <c r="H64">
        <v>40</v>
      </c>
      <c r="I64" t="s">
        <v>3</v>
      </c>
      <c r="T64" t="s">
        <v>133</v>
      </c>
      <c r="Y64" s="10" t="s">
        <v>133</v>
      </c>
      <c r="Z64" s="2">
        <v>0.8</v>
      </c>
      <c r="AA64" s="2">
        <v>1</v>
      </c>
      <c r="AB64" s="2">
        <v>0</v>
      </c>
      <c r="AC64" s="2">
        <v>0</v>
      </c>
      <c r="AD64" s="2">
        <v>0</v>
      </c>
      <c r="AE64">
        <v>100000</v>
      </c>
      <c r="AF64">
        <v>3663</v>
      </c>
      <c r="AG64">
        <v>4</v>
      </c>
      <c r="AH64" s="1">
        <v>3.5</v>
      </c>
      <c r="AI64" t="s">
        <v>1</v>
      </c>
      <c r="AJ64" t="s">
        <v>0</v>
      </c>
      <c r="AL64" t="s">
        <v>127</v>
      </c>
      <c r="AM6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causes_status_weakness]])*100+COUNTA(R64,T64)*5000+COUNTA(_csv247[[#This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68432</v>
      </c>
      <c r="AN64">
        <v>4</v>
      </c>
    </row>
    <row r="65" spans="1:40" x14ac:dyDescent="0.25">
      <c r="A65">
        <v>35</v>
      </c>
      <c r="B65" t="s">
        <v>58</v>
      </c>
      <c r="C65">
        <v>200</v>
      </c>
      <c r="D65">
        <v>30</v>
      </c>
      <c r="E65">
        <v>50</v>
      </c>
      <c r="F65">
        <v>2</v>
      </c>
      <c r="G65">
        <v>50</v>
      </c>
      <c r="H65">
        <v>50</v>
      </c>
      <c r="I65" t="s">
        <v>6</v>
      </c>
      <c r="J65" t="s">
        <v>133</v>
      </c>
      <c r="Z65" s="2">
        <v>0.27</v>
      </c>
      <c r="AA65" s="2">
        <v>0.8</v>
      </c>
      <c r="AB65" s="2">
        <v>0.5</v>
      </c>
      <c r="AC65" s="2">
        <v>0.8</v>
      </c>
      <c r="AD65" s="2">
        <v>0.8</v>
      </c>
      <c r="AE65">
        <v>25000</v>
      </c>
      <c r="AF65">
        <v>300</v>
      </c>
      <c r="AG65">
        <v>3</v>
      </c>
      <c r="AH65" s="1">
        <v>3.5</v>
      </c>
      <c r="AI65" t="s">
        <v>1</v>
      </c>
      <c r="AJ65" t="s">
        <v>0</v>
      </c>
      <c r="AL65" t="s">
        <v>132</v>
      </c>
      <c r="AM6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causes_status_weakness]])*100+COUNTA(R65,T65)*5000+COUNTA(_csv247[[#This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71440</v>
      </c>
      <c r="AN65">
        <v>4</v>
      </c>
    </row>
    <row r="66" spans="1:40" x14ac:dyDescent="0.25">
      <c r="A66">
        <v>79</v>
      </c>
      <c r="B66" t="s">
        <v>26</v>
      </c>
      <c r="C66">
        <v>250</v>
      </c>
      <c r="D66">
        <v>20</v>
      </c>
      <c r="E66">
        <v>80</v>
      </c>
      <c r="F66">
        <v>1</v>
      </c>
      <c r="G66">
        <v>232</v>
      </c>
      <c r="H66">
        <v>232</v>
      </c>
      <c r="I66" t="s">
        <v>6</v>
      </c>
      <c r="J66" t="s">
        <v>133</v>
      </c>
      <c r="Z66" s="2">
        <v>1</v>
      </c>
      <c r="AA66" s="2">
        <v>1</v>
      </c>
      <c r="AB66" s="2">
        <v>0</v>
      </c>
      <c r="AC66" s="2">
        <v>1</v>
      </c>
      <c r="AD66" s="2">
        <v>1</v>
      </c>
      <c r="AE66">
        <v>240000</v>
      </c>
      <c r="AF66">
        <v>17000</v>
      </c>
      <c r="AG66">
        <v>5</v>
      </c>
      <c r="AH66" s="1">
        <v>3.5</v>
      </c>
      <c r="AI66" t="s">
        <v>1</v>
      </c>
      <c r="AJ66" t="s">
        <v>0</v>
      </c>
      <c r="AL66" t="s">
        <v>130</v>
      </c>
      <c r="AM6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causes_status_weakness]])*100+COUNTA(R66,T66)*5000+COUNTA(_csv247[[#This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78660</v>
      </c>
      <c r="AN66">
        <v>4</v>
      </c>
    </row>
    <row r="67" spans="1:40" x14ac:dyDescent="0.25">
      <c r="A67">
        <v>70</v>
      </c>
      <c r="B67" t="s">
        <v>42</v>
      </c>
      <c r="C67">
        <v>300</v>
      </c>
      <c r="D67">
        <v>25</v>
      </c>
      <c r="E67">
        <v>60</v>
      </c>
      <c r="F67">
        <v>2</v>
      </c>
      <c r="G67">
        <v>2</v>
      </c>
      <c r="H67">
        <v>60</v>
      </c>
      <c r="I67" t="s">
        <v>3</v>
      </c>
      <c r="L67" t="s">
        <v>133</v>
      </c>
      <c r="Y67" s="10" t="s">
        <v>133</v>
      </c>
      <c r="Z67" s="2">
        <v>0.05</v>
      </c>
      <c r="AA67" s="2">
        <v>0.3</v>
      </c>
      <c r="AB67" s="2">
        <v>0</v>
      </c>
      <c r="AC67" s="2">
        <v>0.3</v>
      </c>
      <c r="AD67" s="2">
        <v>0.3</v>
      </c>
      <c r="AE67">
        <v>90000</v>
      </c>
      <c r="AF67">
        <v>0</v>
      </c>
      <c r="AG67">
        <v>4</v>
      </c>
      <c r="AH67" s="1">
        <v>3.5</v>
      </c>
      <c r="AI67" t="s">
        <v>1</v>
      </c>
      <c r="AJ67" t="s">
        <v>0</v>
      </c>
      <c r="AL67" t="s">
        <v>125</v>
      </c>
      <c r="AM6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causes_status_weakness]])*100+COUNTA(R67,T67)*5000+COUNTA(_csv247[[#This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81670</v>
      </c>
      <c r="AN67">
        <v>4</v>
      </c>
    </row>
    <row r="68" spans="1:40" x14ac:dyDescent="0.25">
      <c r="A68">
        <v>88</v>
      </c>
      <c r="B68" t="s">
        <v>22</v>
      </c>
      <c r="C68">
        <v>500</v>
      </c>
      <c r="D68">
        <v>15</v>
      </c>
      <c r="E68">
        <v>30</v>
      </c>
      <c r="F68">
        <v>1</v>
      </c>
      <c r="G68">
        <v>50</v>
      </c>
      <c r="H68">
        <v>200</v>
      </c>
      <c r="I68" t="s">
        <v>14</v>
      </c>
      <c r="J68" t="s">
        <v>133</v>
      </c>
      <c r="K68" t="s">
        <v>133</v>
      </c>
      <c r="Z68" s="2">
        <v>0.1</v>
      </c>
      <c r="AA68" s="2">
        <v>0.3</v>
      </c>
      <c r="AB68" s="2">
        <v>0.6</v>
      </c>
      <c r="AC68" s="2">
        <v>0.6</v>
      </c>
      <c r="AD68" s="2">
        <v>1</v>
      </c>
      <c r="AE68">
        <v>150000</v>
      </c>
      <c r="AF68">
        <v>15000</v>
      </c>
      <c r="AG68">
        <v>5</v>
      </c>
      <c r="AH68" s="1">
        <v>3.5</v>
      </c>
      <c r="AI68" t="s">
        <v>1</v>
      </c>
      <c r="AJ68" t="s">
        <v>0</v>
      </c>
      <c r="AL68" t="s">
        <v>132</v>
      </c>
      <c r="AM6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causes_status_weakness]])*100+COUNTA(R68,T68)*5000+COUNTA(_csv247[[#This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91950</v>
      </c>
      <c r="AN68">
        <v>4</v>
      </c>
    </row>
    <row r="69" spans="1:40" x14ac:dyDescent="0.25">
      <c r="A69">
        <v>87</v>
      </c>
      <c r="B69" t="s">
        <v>23</v>
      </c>
      <c r="C69">
        <v>500</v>
      </c>
      <c r="D69">
        <v>15</v>
      </c>
      <c r="E69">
        <v>30</v>
      </c>
      <c r="F69">
        <v>3</v>
      </c>
      <c r="G69">
        <v>2</v>
      </c>
      <c r="H69">
        <v>80</v>
      </c>
      <c r="I69" t="s">
        <v>3</v>
      </c>
      <c r="P69" t="s">
        <v>133</v>
      </c>
      <c r="Z69" s="2">
        <v>0.6</v>
      </c>
      <c r="AA69" s="2">
        <v>0</v>
      </c>
      <c r="AB69" s="2">
        <v>0.8</v>
      </c>
      <c r="AC69" s="2">
        <v>0.8</v>
      </c>
      <c r="AD69" s="2">
        <v>0.8</v>
      </c>
      <c r="AE69">
        <v>250000</v>
      </c>
      <c r="AF69">
        <v>6000</v>
      </c>
      <c r="AG69">
        <v>5</v>
      </c>
      <c r="AH69" s="1">
        <v>3.5</v>
      </c>
      <c r="AI69" t="s">
        <v>1</v>
      </c>
      <c r="AJ69" t="s">
        <v>0</v>
      </c>
      <c r="AK69" t="s">
        <v>123</v>
      </c>
      <c r="AL69" t="s">
        <v>129</v>
      </c>
      <c r="AM6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causes_status_weakness]])*100+COUNTA(R69,T69)*5000+COUNTA(_csv247[[#This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93790</v>
      </c>
      <c r="AN69">
        <v>4</v>
      </c>
    </row>
    <row r="70" spans="1:40" x14ac:dyDescent="0.25">
      <c r="A70">
        <v>86</v>
      </c>
      <c r="B70" t="s">
        <v>38</v>
      </c>
      <c r="C70">
        <v>500</v>
      </c>
      <c r="D70">
        <v>20</v>
      </c>
      <c r="E70">
        <v>30</v>
      </c>
      <c r="F70">
        <v>2</v>
      </c>
      <c r="G70">
        <v>8</v>
      </c>
      <c r="H70">
        <v>64</v>
      </c>
      <c r="I70" t="s">
        <v>6</v>
      </c>
      <c r="J70" t="s">
        <v>133</v>
      </c>
      <c r="K70" t="s">
        <v>133</v>
      </c>
      <c r="Z70" s="2">
        <v>0.5</v>
      </c>
      <c r="AA70" s="2">
        <v>0.5</v>
      </c>
      <c r="AB70" s="2">
        <v>0</v>
      </c>
      <c r="AC70" s="2">
        <v>0.5</v>
      </c>
      <c r="AD70" s="2">
        <v>0.5</v>
      </c>
      <c r="AE70">
        <v>100000</v>
      </c>
      <c r="AF70">
        <v>5500</v>
      </c>
      <c r="AG70">
        <v>4</v>
      </c>
      <c r="AH70" s="1">
        <v>3.5</v>
      </c>
      <c r="AI70" t="s">
        <v>1</v>
      </c>
      <c r="AJ70" t="s">
        <v>0</v>
      </c>
      <c r="AK70" t="s">
        <v>163</v>
      </c>
      <c r="AL70" t="s">
        <v>130</v>
      </c>
      <c r="AM7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causes_status_weakness]])*100+COUNTA(R70,T70)*5000+COUNTA(_csv247[[#This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112360</v>
      </c>
      <c r="AN70">
        <v>4</v>
      </c>
    </row>
    <row r="71" spans="1:40" x14ac:dyDescent="0.25">
      <c r="A71">
        <v>13</v>
      </c>
      <c r="B71" t="s">
        <v>32</v>
      </c>
      <c r="C71">
        <v>500</v>
      </c>
      <c r="D71">
        <v>25</v>
      </c>
      <c r="E71">
        <v>40</v>
      </c>
      <c r="F71">
        <v>2</v>
      </c>
      <c r="G71">
        <v>6</v>
      </c>
      <c r="H71">
        <v>150</v>
      </c>
      <c r="I71" t="s">
        <v>3</v>
      </c>
      <c r="O71" t="s">
        <v>133</v>
      </c>
      <c r="Y71" s="10" t="s">
        <v>133</v>
      </c>
      <c r="Z71" s="2">
        <v>0.3</v>
      </c>
      <c r="AA71" s="2">
        <v>0</v>
      </c>
      <c r="AB71" s="2">
        <v>0</v>
      </c>
      <c r="AC71" s="2">
        <v>0</v>
      </c>
      <c r="AD71" s="2">
        <v>0</v>
      </c>
      <c r="AE71">
        <v>150000</v>
      </c>
      <c r="AF71">
        <v>10000</v>
      </c>
      <c r="AG71">
        <v>5</v>
      </c>
      <c r="AH71" s="1">
        <v>3.5</v>
      </c>
      <c r="AI71" t="s">
        <v>1</v>
      </c>
      <c r="AJ71" t="s">
        <v>0</v>
      </c>
      <c r="AL71" t="s">
        <v>128</v>
      </c>
      <c r="AM7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causes_status_weakness]])*100+COUNTA(R71,T71)*5000+COUNTA(_csv247[[#This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132840</v>
      </c>
      <c r="AN71">
        <v>4</v>
      </c>
    </row>
    <row r="72" spans="1:40" x14ac:dyDescent="0.25">
      <c r="A72">
        <v>17</v>
      </c>
      <c r="B72" t="s">
        <v>31</v>
      </c>
      <c r="C72">
        <v>500</v>
      </c>
      <c r="D72">
        <v>25</v>
      </c>
      <c r="E72">
        <v>90</v>
      </c>
      <c r="F72">
        <v>1</v>
      </c>
      <c r="G72">
        <v>4</v>
      </c>
      <c r="H72">
        <v>200</v>
      </c>
      <c r="I72" t="s">
        <v>3</v>
      </c>
      <c r="T72" t="s">
        <v>133</v>
      </c>
      <c r="Y72" s="10" t="s">
        <v>133</v>
      </c>
      <c r="Z72" s="2">
        <v>0</v>
      </c>
      <c r="AA72" s="2">
        <v>0</v>
      </c>
      <c r="AB72" s="2">
        <v>0</v>
      </c>
      <c r="AC72" s="2">
        <v>0</v>
      </c>
      <c r="AD72" s="2">
        <v>0</v>
      </c>
      <c r="AE72">
        <v>150000</v>
      </c>
      <c r="AF72">
        <v>0</v>
      </c>
      <c r="AG72">
        <v>5</v>
      </c>
      <c r="AH72" s="1">
        <v>3.5</v>
      </c>
      <c r="AI72" t="s">
        <v>1</v>
      </c>
      <c r="AJ72" t="s">
        <v>0</v>
      </c>
      <c r="AL72" t="s">
        <v>125</v>
      </c>
      <c r="AM7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causes_status_weakness]])*100+COUNTA(R72,T72)*5000+COUNTA(_csv247[[#This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139180</v>
      </c>
      <c r="AN72">
        <v>4</v>
      </c>
    </row>
    <row r="73" spans="1:40" x14ac:dyDescent="0.25">
      <c r="A73">
        <v>21</v>
      </c>
      <c r="B73" t="s">
        <v>30</v>
      </c>
      <c r="C73">
        <v>400</v>
      </c>
      <c r="D73">
        <v>35</v>
      </c>
      <c r="E73">
        <v>45</v>
      </c>
      <c r="F73">
        <v>1</v>
      </c>
      <c r="G73">
        <v>100</v>
      </c>
      <c r="H73">
        <v>100</v>
      </c>
      <c r="I73" t="s">
        <v>29</v>
      </c>
      <c r="K73" t="s">
        <v>133</v>
      </c>
      <c r="L73" t="s">
        <v>133</v>
      </c>
      <c r="Y73" s="10" t="s">
        <v>133</v>
      </c>
      <c r="Z73" s="2">
        <v>0.2</v>
      </c>
      <c r="AA73" s="2">
        <v>0</v>
      </c>
      <c r="AB73" s="2">
        <v>0</v>
      </c>
      <c r="AC73" s="2">
        <v>0</v>
      </c>
      <c r="AD73" s="2">
        <v>0</v>
      </c>
      <c r="AE73">
        <v>150000</v>
      </c>
      <c r="AF73">
        <v>5600</v>
      </c>
      <c r="AG73">
        <v>5</v>
      </c>
      <c r="AH73" s="1">
        <v>3.5</v>
      </c>
      <c r="AI73" t="s">
        <v>8</v>
      </c>
      <c r="AJ73" t="s">
        <v>0</v>
      </c>
      <c r="AL73" t="s">
        <v>125</v>
      </c>
      <c r="AM7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causes_status_weakness]])*100+COUNTA(R73,T73)*5000+COUNTA(_csv247[[#This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145500</v>
      </c>
      <c r="AN73">
        <v>4</v>
      </c>
    </row>
    <row r="74" spans="1:40" x14ac:dyDescent="0.25">
      <c r="A74">
        <v>3</v>
      </c>
      <c r="B74" t="s">
        <v>41</v>
      </c>
      <c r="C74">
        <v>375</v>
      </c>
      <c r="D74">
        <v>30</v>
      </c>
      <c r="E74">
        <v>50</v>
      </c>
      <c r="F74">
        <v>7</v>
      </c>
      <c r="G74">
        <v>4</v>
      </c>
      <c r="H74">
        <v>160</v>
      </c>
      <c r="I74" t="s">
        <v>3</v>
      </c>
      <c r="J74" t="s">
        <v>133</v>
      </c>
      <c r="Q74" t="s">
        <v>133</v>
      </c>
      <c r="Y74" s="10" t="s">
        <v>133</v>
      </c>
      <c r="Z74" s="2">
        <v>0.5</v>
      </c>
      <c r="AA74" s="2">
        <v>0.5</v>
      </c>
      <c r="AB74" s="2">
        <v>0</v>
      </c>
      <c r="AC74" s="2">
        <v>0.5</v>
      </c>
      <c r="AD74" s="2">
        <v>0.5</v>
      </c>
      <c r="AE74">
        <v>100000</v>
      </c>
      <c r="AF74">
        <v>8000</v>
      </c>
      <c r="AG74">
        <v>4</v>
      </c>
      <c r="AH74" s="1">
        <v>3.5</v>
      </c>
      <c r="AI74" t="s">
        <v>1</v>
      </c>
      <c r="AJ74" t="s">
        <v>0</v>
      </c>
      <c r="AL74" t="s">
        <v>130</v>
      </c>
      <c r="AM7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causes_status_weakness]])*100+COUNTA(R74,T74)*5000+COUNTA(_csv247[[#This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148900</v>
      </c>
      <c r="AN74">
        <v>5</v>
      </c>
    </row>
    <row r="75" spans="1:40" x14ac:dyDescent="0.25">
      <c r="A75">
        <v>76</v>
      </c>
      <c r="B75" t="s">
        <v>28</v>
      </c>
      <c r="C75">
        <v>500</v>
      </c>
      <c r="D75">
        <v>30</v>
      </c>
      <c r="E75">
        <v>40</v>
      </c>
      <c r="F75">
        <v>2</v>
      </c>
      <c r="G75">
        <v>8</v>
      </c>
      <c r="H75">
        <v>120</v>
      </c>
      <c r="I75" t="s">
        <v>3</v>
      </c>
      <c r="P75" t="s">
        <v>133</v>
      </c>
      <c r="Y75" s="10" t="s">
        <v>133</v>
      </c>
      <c r="Z75" s="2">
        <v>0.2</v>
      </c>
      <c r="AA75" s="2">
        <v>0.2</v>
      </c>
      <c r="AB75" s="2">
        <v>0</v>
      </c>
      <c r="AC75" s="2">
        <v>0.2</v>
      </c>
      <c r="AD75" s="2">
        <v>0.2</v>
      </c>
      <c r="AE75">
        <v>150000</v>
      </c>
      <c r="AF75">
        <v>500</v>
      </c>
      <c r="AG75">
        <v>5</v>
      </c>
      <c r="AH75" s="1">
        <v>3.5</v>
      </c>
      <c r="AI75" t="s">
        <v>1</v>
      </c>
      <c r="AJ75" t="s">
        <v>0</v>
      </c>
      <c r="AL75" t="s">
        <v>125</v>
      </c>
      <c r="AM7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causes_status_weakness]])*100+COUNTA(R75,T75)*5000+COUNTA(_csv247[[#This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159220</v>
      </c>
      <c r="AN75">
        <v>5</v>
      </c>
    </row>
    <row r="76" spans="1:40" x14ac:dyDescent="0.25">
      <c r="A76">
        <v>73</v>
      </c>
      <c r="B76" t="s">
        <v>24</v>
      </c>
      <c r="C76">
        <v>400</v>
      </c>
      <c r="D76">
        <v>30</v>
      </c>
      <c r="E76">
        <v>45</v>
      </c>
      <c r="F76">
        <v>3</v>
      </c>
      <c r="G76">
        <v>10</v>
      </c>
      <c r="H76">
        <v>100</v>
      </c>
      <c r="I76" t="s">
        <v>3</v>
      </c>
      <c r="V76">
        <v>0.1</v>
      </c>
      <c r="W76">
        <v>0.2</v>
      </c>
      <c r="Y76" s="10" t="s">
        <v>133</v>
      </c>
      <c r="Z76" s="2">
        <v>0.1</v>
      </c>
      <c r="AA76" s="2">
        <v>0</v>
      </c>
      <c r="AB76" s="2">
        <v>0.9</v>
      </c>
      <c r="AC76" s="2">
        <v>1</v>
      </c>
      <c r="AD76" s="2">
        <v>1</v>
      </c>
      <c r="AE76">
        <v>250000</v>
      </c>
      <c r="AF76">
        <v>8000</v>
      </c>
      <c r="AG76">
        <v>5</v>
      </c>
      <c r="AH76" s="1">
        <v>3.5</v>
      </c>
      <c r="AI76" t="s">
        <v>1</v>
      </c>
      <c r="AJ76" t="s">
        <v>18</v>
      </c>
      <c r="AL76" t="s">
        <v>129</v>
      </c>
      <c r="AM7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causes_status_weakness]])*100+COUNTA(R76,T76)*5000+COUNTA(_csv247[[#This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159425</v>
      </c>
      <c r="AN76">
        <v>5</v>
      </c>
    </row>
    <row r="77" spans="1:40" x14ac:dyDescent="0.25">
      <c r="A77">
        <v>22</v>
      </c>
      <c r="B77" t="s">
        <v>37</v>
      </c>
      <c r="C77">
        <v>400</v>
      </c>
      <c r="D77">
        <v>40</v>
      </c>
      <c r="E77">
        <v>75</v>
      </c>
      <c r="F77">
        <v>3</v>
      </c>
      <c r="G77">
        <v>50</v>
      </c>
      <c r="H77">
        <v>100</v>
      </c>
      <c r="I77" t="s">
        <v>6</v>
      </c>
      <c r="J77" t="s">
        <v>133</v>
      </c>
      <c r="Z77" s="2">
        <v>0.33</v>
      </c>
      <c r="AA77" s="2">
        <v>0.8</v>
      </c>
      <c r="AB77" s="2">
        <v>0.6</v>
      </c>
      <c r="AC77" s="2">
        <v>0.8</v>
      </c>
      <c r="AD77" s="2">
        <v>0.8</v>
      </c>
      <c r="AE77">
        <v>120000</v>
      </c>
      <c r="AF77">
        <v>1000</v>
      </c>
      <c r="AG77">
        <v>4</v>
      </c>
      <c r="AH77" s="1">
        <v>3.5</v>
      </c>
      <c r="AI77" t="s">
        <v>1</v>
      </c>
      <c r="AJ77" t="s">
        <v>0</v>
      </c>
      <c r="AL77" t="s">
        <v>132</v>
      </c>
      <c r="AM7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causes_status_weakness]])*100+COUNTA(R77,T77)*5000+COUNTA(_csv247[[#This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190295</v>
      </c>
      <c r="AN77">
        <v>5</v>
      </c>
    </row>
    <row r="78" spans="1:40" x14ac:dyDescent="0.25">
      <c r="A78">
        <v>36</v>
      </c>
      <c r="B78" t="s">
        <v>27</v>
      </c>
      <c r="C78">
        <v>600</v>
      </c>
      <c r="D78">
        <v>35</v>
      </c>
      <c r="E78">
        <v>50</v>
      </c>
      <c r="F78">
        <v>1</v>
      </c>
      <c r="G78">
        <v>20</v>
      </c>
      <c r="H78">
        <v>400</v>
      </c>
      <c r="I78" t="s">
        <v>3</v>
      </c>
      <c r="Y78" s="10" t="s">
        <v>133</v>
      </c>
      <c r="Z78" s="2">
        <v>0.2</v>
      </c>
      <c r="AA78" s="2">
        <v>0</v>
      </c>
      <c r="AB78" s="2">
        <v>0</v>
      </c>
      <c r="AC78" s="2">
        <v>0</v>
      </c>
      <c r="AD78" s="2">
        <v>0</v>
      </c>
      <c r="AE78">
        <v>180000</v>
      </c>
      <c r="AF78">
        <v>10000</v>
      </c>
      <c r="AG78">
        <v>5</v>
      </c>
      <c r="AH78" s="1">
        <v>3.5</v>
      </c>
      <c r="AI78" t="s">
        <v>1</v>
      </c>
      <c r="AJ78" t="s">
        <v>0</v>
      </c>
      <c r="AL78" t="s">
        <v>130</v>
      </c>
      <c r="AM7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causes_status_weakness]])*100+COUNTA(R78,T78)*5000+COUNTA(_csv247[[#This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221700</v>
      </c>
      <c r="AN78">
        <v>5</v>
      </c>
    </row>
    <row r="79" spans="1:40" x14ac:dyDescent="0.25">
      <c r="A79">
        <v>42</v>
      </c>
      <c r="B79" t="s">
        <v>25</v>
      </c>
      <c r="C79">
        <v>666</v>
      </c>
      <c r="D79">
        <v>33</v>
      </c>
      <c r="E79">
        <v>66</v>
      </c>
      <c r="F79">
        <v>4</v>
      </c>
      <c r="G79">
        <v>2</v>
      </c>
      <c r="H79">
        <v>80</v>
      </c>
      <c r="I79" t="s">
        <v>3</v>
      </c>
      <c r="N79" t="s">
        <v>133</v>
      </c>
      <c r="Z79" s="2">
        <v>0.9</v>
      </c>
      <c r="AA79" s="2">
        <v>1</v>
      </c>
      <c r="AB79" s="2">
        <v>0</v>
      </c>
      <c r="AC79" s="2">
        <v>0</v>
      </c>
      <c r="AD79" s="2">
        <v>0</v>
      </c>
      <c r="AE79">
        <v>250000</v>
      </c>
      <c r="AF79">
        <v>7326</v>
      </c>
      <c r="AG79">
        <v>5</v>
      </c>
      <c r="AH79" s="1">
        <v>3.5</v>
      </c>
      <c r="AI79" t="s">
        <v>1</v>
      </c>
      <c r="AJ79" t="s">
        <v>0</v>
      </c>
      <c r="AL79" t="s">
        <v>127</v>
      </c>
      <c r="AM7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causes_status_weakness]])*100+COUNTA(R79,T79)*5000+COUNTA(_csv247[[#This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243358</v>
      </c>
      <c r="AN79">
        <v>5</v>
      </c>
    </row>
    <row r="80" spans="1:40" x14ac:dyDescent="0.25">
      <c r="A80">
        <v>82</v>
      </c>
      <c r="B80" t="s">
        <v>21</v>
      </c>
      <c r="C80">
        <v>1000</v>
      </c>
      <c r="D80">
        <v>25</v>
      </c>
      <c r="E80">
        <v>40</v>
      </c>
      <c r="F80">
        <v>3</v>
      </c>
      <c r="G80">
        <v>6</v>
      </c>
      <c r="H80">
        <v>150</v>
      </c>
      <c r="I80" t="s">
        <v>3</v>
      </c>
      <c r="O80" t="s">
        <v>133</v>
      </c>
      <c r="Z80" s="2">
        <v>0.8</v>
      </c>
      <c r="AA80" s="2">
        <v>0</v>
      </c>
      <c r="AB80" s="2">
        <v>0</v>
      </c>
      <c r="AC80" s="2">
        <v>0</v>
      </c>
      <c r="AD80" s="2">
        <v>0</v>
      </c>
      <c r="AE80">
        <v>300000</v>
      </c>
      <c r="AF80">
        <v>100000</v>
      </c>
      <c r="AG80">
        <v>5</v>
      </c>
      <c r="AH80" s="1">
        <v>3.5</v>
      </c>
      <c r="AI80" t="s">
        <v>1</v>
      </c>
      <c r="AJ80" t="s">
        <v>0</v>
      </c>
      <c r="AK80" t="s">
        <v>122</v>
      </c>
      <c r="AL80" t="s">
        <v>128</v>
      </c>
      <c r="AM8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causes_status_weakness]])*100+COUNTA(R80,T80)*5000+COUNTA(_csv247[[#This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267460</v>
      </c>
      <c r="AN80">
        <v>5</v>
      </c>
    </row>
    <row r="81" spans="1:40" x14ac:dyDescent="0.25">
      <c r="A81">
        <v>33</v>
      </c>
      <c r="B81" t="s">
        <v>17</v>
      </c>
      <c r="C81">
        <v>800</v>
      </c>
      <c r="D81">
        <v>40</v>
      </c>
      <c r="E81">
        <v>60</v>
      </c>
      <c r="F81">
        <v>1</v>
      </c>
      <c r="G81">
        <v>250</v>
      </c>
      <c r="H81">
        <v>250</v>
      </c>
      <c r="I81" t="s">
        <v>16</v>
      </c>
      <c r="J81" t="s">
        <v>133</v>
      </c>
      <c r="Z81" s="2">
        <v>0.25</v>
      </c>
      <c r="AA81" s="2">
        <v>0</v>
      </c>
      <c r="AB81" s="2">
        <v>0</v>
      </c>
      <c r="AC81" s="2">
        <v>1</v>
      </c>
      <c r="AD81" s="2">
        <v>0</v>
      </c>
      <c r="AE81">
        <v>500000</v>
      </c>
      <c r="AF81">
        <v>30000</v>
      </c>
      <c r="AG81">
        <v>5</v>
      </c>
      <c r="AH81" s="1">
        <v>3.5</v>
      </c>
      <c r="AI81" t="s">
        <v>1</v>
      </c>
      <c r="AJ81" t="s">
        <v>0</v>
      </c>
      <c r="AL81" t="s">
        <v>125</v>
      </c>
      <c r="AM8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causes_status_weakness]])*100+COUNTA(R81,T81)*5000+COUNTA(_csv247[[#This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345100</v>
      </c>
      <c r="AN81">
        <v>5</v>
      </c>
    </row>
    <row r="82" spans="1:40" x14ac:dyDescent="0.25">
      <c r="A82">
        <v>89</v>
      </c>
      <c r="B82" t="s">
        <v>20</v>
      </c>
      <c r="C82">
        <v>1000</v>
      </c>
      <c r="D82">
        <v>35</v>
      </c>
      <c r="E82">
        <v>50</v>
      </c>
      <c r="F82">
        <v>2</v>
      </c>
      <c r="G82">
        <v>20</v>
      </c>
      <c r="H82">
        <v>400</v>
      </c>
      <c r="I82" t="s">
        <v>3</v>
      </c>
      <c r="Z82" s="2">
        <v>0.2</v>
      </c>
      <c r="AA82" s="2">
        <v>0</v>
      </c>
      <c r="AB82" s="2">
        <v>0</v>
      </c>
      <c r="AC82" s="2">
        <v>0</v>
      </c>
      <c r="AD82" s="2">
        <v>0</v>
      </c>
      <c r="AE82">
        <v>300000</v>
      </c>
      <c r="AF82">
        <v>10000</v>
      </c>
      <c r="AG82">
        <v>5</v>
      </c>
      <c r="AH82" s="1">
        <v>3.5</v>
      </c>
      <c r="AI82" t="s">
        <v>1</v>
      </c>
      <c r="AJ82" t="s">
        <v>0</v>
      </c>
      <c r="AK82" t="s">
        <v>164</v>
      </c>
      <c r="AL82" t="s">
        <v>130</v>
      </c>
      <c r="AM8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causes_status_weakness]])*100+COUNTA(R82,T82)*5000+COUNTA(_csv247[[#This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373000</v>
      </c>
      <c r="AN82">
        <v>5</v>
      </c>
    </row>
    <row r="83" spans="1:40" x14ac:dyDescent="0.25">
      <c r="A83">
        <v>90</v>
      </c>
      <c r="B83" t="s">
        <v>19</v>
      </c>
      <c r="C83">
        <v>800</v>
      </c>
      <c r="D83">
        <v>40</v>
      </c>
      <c r="E83">
        <v>60</v>
      </c>
      <c r="F83">
        <v>3</v>
      </c>
      <c r="G83">
        <v>30</v>
      </c>
      <c r="H83">
        <v>300</v>
      </c>
      <c r="I83" t="s">
        <v>3</v>
      </c>
      <c r="V83">
        <v>0.15</v>
      </c>
      <c r="W83">
        <v>0.2</v>
      </c>
      <c r="Z83" s="2">
        <v>0.5</v>
      </c>
      <c r="AA83" s="2">
        <v>0</v>
      </c>
      <c r="AB83" s="2">
        <v>0.9</v>
      </c>
      <c r="AC83" s="2">
        <v>1</v>
      </c>
      <c r="AD83" s="2">
        <v>1</v>
      </c>
      <c r="AE83">
        <v>300000</v>
      </c>
      <c r="AF83">
        <v>11000</v>
      </c>
      <c r="AG83">
        <v>5</v>
      </c>
      <c r="AH83" s="1">
        <v>3.5</v>
      </c>
      <c r="AI83" t="s">
        <v>1</v>
      </c>
      <c r="AJ83" t="s">
        <v>18</v>
      </c>
      <c r="AK83" t="s">
        <v>121</v>
      </c>
      <c r="AL83" t="s">
        <v>129</v>
      </c>
      <c r="AM83"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causes_status_weakness]])*100+COUNTA(R83,T83)*5000+COUNTA(_csv247[[#This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401900</v>
      </c>
      <c r="AN83">
        <v>5</v>
      </c>
    </row>
    <row r="84" spans="1:40" x14ac:dyDescent="0.25">
      <c r="A84">
        <v>43</v>
      </c>
      <c r="B84" t="s">
        <v>11</v>
      </c>
      <c r="C84">
        <v>1000</v>
      </c>
      <c r="D84">
        <v>40</v>
      </c>
      <c r="E84">
        <v>60</v>
      </c>
      <c r="F84">
        <v>1</v>
      </c>
      <c r="G84">
        <v>8</v>
      </c>
      <c r="H84">
        <v>64</v>
      </c>
      <c r="I84" t="s">
        <v>6</v>
      </c>
      <c r="J84" t="s">
        <v>133</v>
      </c>
      <c r="R84" t="s">
        <v>133</v>
      </c>
      <c r="S84" t="s">
        <v>133</v>
      </c>
      <c r="Z84" s="2">
        <v>0.8</v>
      </c>
      <c r="AA84" s="2">
        <v>0</v>
      </c>
      <c r="AB84" s="2">
        <v>0</v>
      </c>
      <c r="AC84" s="2">
        <v>0</v>
      </c>
      <c r="AD84" s="2">
        <v>0</v>
      </c>
      <c r="AE84">
        <v>3000000</v>
      </c>
      <c r="AF84">
        <v>12000</v>
      </c>
      <c r="AG84">
        <v>5</v>
      </c>
      <c r="AH84" s="1">
        <v>3.5</v>
      </c>
      <c r="AI84" t="s">
        <v>1</v>
      </c>
      <c r="AJ84" t="s">
        <v>0</v>
      </c>
      <c r="AL84" t="s">
        <v>127</v>
      </c>
      <c r="AM84"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causes_status_weakness]])*100+COUNTA(R84,T84)*5000+COUNTA(_csv247[[#This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448593</v>
      </c>
      <c r="AN84">
        <v>5</v>
      </c>
    </row>
    <row r="85" spans="1:40" x14ac:dyDescent="0.25">
      <c r="A85">
        <v>83</v>
      </c>
      <c r="B85" t="s">
        <v>15</v>
      </c>
      <c r="C85">
        <v>1500</v>
      </c>
      <c r="D85">
        <v>50</v>
      </c>
      <c r="E85">
        <v>60</v>
      </c>
      <c r="F85">
        <v>2</v>
      </c>
      <c r="G85">
        <v>10</v>
      </c>
      <c r="H85">
        <v>200</v>
      </c>
      <c r="I85" t="s">
        <v>14</v>
      </c>
      <c r="J85" t="s">
        <v>133</v>
      </c>
      <c r="Z85" s="2">
        <v>0.5</v>
      </c>
      <c r="AA85" s="2">
        <v>1</v>
      </c>
      <c r="AB85" s="2">
        <v>0</v>
      </c>
      <c r="AC85" s="2">
        <v>0</v>
      </c>
      <c r="AD85" s="2">
        <v>0.5</v>
      </c>
      <c r="AE85">
        <v>500000</v>
      </c>
      <c r="AF85">
        <v>26000</v>
      </c>
      <c r="AG85">
        <v>5</v>
      </c>
      <c r="AH85" s="1">
        <v>3.5</v>
      </c>
      <c r="AI85" t="s">
        <v>1</v>
      </c>
      <c r="AJ85" t="s">
        <v>0</v>
      </c>
      <c r="AK85" t="s">
        <v>120</v>
      </c>
      <c r="AL85" t="s">
        <v>125</v>
      </c>
      <c r="AM85"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causes_status_weakness]])*100+COUNTA(R85,T85)*5000+COUNTA(_csv247[[#This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792700</v>
      </c>
      <c r="AN85">
        <v>5</v>
      </c>
    </row>
    <row r="86" spans="1:40" x14ac:dyDescent="0.25">
      <c r="A86">
        <v>45</v>
      </c>
      <c r="B86" t="s">
        <v>10</v>
      </c>
      <c r="C86">
        <v>1000</v>
      </c>
      <c r="D86">
        <v>90</v>
      </c>
      <c r="E86">
        <v>80</v>
      </c>
      <c r="F86">
        <v>2</v>
      </c>
      <c r="G86">
        <v>3</v>
      </c>
      <c r="H86">
        <v>300</v>
      </c>
      <c r="I86" t="s">
        <v>3</v>
      </c>
      <c r="S86" t="s">
        <v>133</v>
      </c>
      <c r="Z86" s="2">
        <v>1</v>
      </c>
      <c r="AA86" s="2">
        <v>0</v>
      </c>
      <c r="AB86" s="2">
        <v>0</v>
      </c>
      <c r="AC86" s="2">
        <v>0</v>
      </c>
      <c r="AD86" s="2">
        <v>0</v>
      </c>
      <c r="AE86">
        <v>3000000</v>
      </c>
      <c r="AF86">
        <v>101000</v>
      </c>
      <c r="AG86">
        <v>5</v>
      </c>
      <c r="AH86" s="1">
        <v>3.5</v>
      </c>
      <c r="AI86" t="s">
        <v>1</v>
      </c>
      <c r="AJ86" t="s">
        <v>0</v>
      </c>
      <c r="AL86" t="s">
        <v>125</v>
      </c>
      <c r="AM86"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causes_status_weakness]])*100+COUNTA(R86,T86)*5000+COUNTA(_csv247[[#This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967573</v>
      </c>
      <c r="AN86">
        <v>5</v>
      </c>
    </row>
    <row r="87" spans="1:40" x14ac:dyDescent="0.25">
      <c r="A87">
        <v>75</v>
      </c>
      <c r="B87" t="s">
        <v>12</v>
      </c>
      <c r="C87">
        <v>2000</v>
      </c>
      <c r="D87">
        <v>50</v>
      </c>
      <c r="E87">
        <v>100</v>
      </c>
      <c r="F87">
        <v>2</v>
      </c>
      <c r="G87">
        <v>5</v>
      </c>
      <c r="H87">
        <v>250</v>
      </c>
      <c r="I87" t="s">
        <v>3</v>
      </c>
      <c r="T87" t="s">
        <v>133</v>
      </c>
      <c r="Y87" s="10" t="s">
        <v>133</v>
      </c>
      <c r="Z87" s="2">
        <v>0.2</v>
      </c>
      <c r="AA87" s="2">
        <v>0.5</v>
      </c>
      <c r="AB87" s="2">
        <v>0</v>
      </c>
      <c r="AC87" s="2">
        <v>0</v>
      </c>
      <c r="AD87" s="2">
        <v>0.5</v>
      </c>
      <c r="AE87">
        <v>2000000</v>
      </c>
      <c r="AF87">
        <v>25000</v>
      </c>
      <c r="AG87">
        <v>5</v>
      </c>
      <c r="AH87" s="1">
        <v>3.5</v>
      </c>
      <c r="AI87" t="s">
        <v>1</v>
      </c>
      <c r="AJ87" t="s">
        <v>0</v>
      </c>
      <c r="AL87" t="s">
        <v>125</v>
      </c>
      <c r="AM87"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causes_status_weakness]])*100+COUNTA(R87,T87)*5000+COUNTA(_csv247[[#This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1054500</v>
      </c>
      <c r="AN87">
        <v>5</v>
      </c>
    </row>
    <row r="88" spans="1:40" x14ac:dyDescent="0.25">
      <c r="A88">
        <v>69</v>
      </c>
      <c r="B88" t="s">
        <v>7</v>
      </c>
      <c r="C88">
        <v>1000</v>
      </c>
      <c r="D88">
        <v>100</v>
      </c>
      <c r="E88">
        <v>200</v>
      </c>
      <c r="F88">
        <v>1</v>
      </c>
      <c r="G88">
        <v>232</v>
      </c>
      <c r="H88">
        <v>928</v>
      </c>
      <c r="I88" t="s">
        <v>6</v>
      </c>
      <c r="U88" t="s">
        <v>133</v>
      </c>
      <c r="Z88" s="2">
        <v>0.33</v>
      </c>
      <c r="AA88" s="2">
        <v>1</v>
      </c>
      <c r="AB88" s="2">
        <v>1</v>
      </c>
      <c r="AC88" s="2">
        <v>1</v>
      </c>
      <c r="AD88" s="2">
        <v>1</v>
      </c>
      <c r="AE88">
        <v>6000000</v>
      </c>
      <c r="AF88">
        <v>20000</v>
      </c>
      <c r="AG88">
        <v>5</v>
      </c>
      <c r="AH88" s="1">
        <v>3.5</v>
      </c>
      <c r="AI88" t="s">
        <v>1</v>
      </c>
      <c r="AJ88" t="s">
        <v>0</v>
      </c>
      <c r="AL88" t="s">
        <v>132</v>
      </c>
      <c r="AM88"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causes_status_weakness]])*100+COUNTA(R88,T88)*5000+COUNTA(_csv247[[#This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1259300</v>
      </c>
      <c r="AN88">
        <v>5</v>
      </c>
    </row>
    <row r="89" spans="1:40" x14ac:dyDescent="0.25">
      <c r="A89">
        <v>50</v>
      </c>
      <c r="B89" t="s">
        <v>9</v>
      </c>
      <c r="C89">
        <v>3000</v>
      </c>
      <c r="D89">
        <v>40</v>
      </c>
      <c r="E89">
        <v>100</v>
      </c>
      <c r="F89">
        <v>8</v>
      </c>
      <c r="G89">
        <v>40</v>
      </c>
      <c r="H89">
        <v>400</v>
      </c>
      <c r="I89" t="s">
        <v>3</v>
      </c>
      <c r="Q89" t="s">
        <v>133</v>
      </c>
      <c r="Y89" s="10" t="s">
        <v>133</v>
      </c>
      <c r="Z89" s="2">
        <v>0.27</v>
      </c>
      <c r="AA89" s="2">
        <v>0.9</v>
      </c>
      <c r="AB89" s="2">
        <v>0</v>
      </c>
      <c r="AC89" s="2">
        <v>0.8</v>
      </c>
      <c r="AD89" s="2">
        <v>0.9</v>
      </c>
      <c r="AE89">
        <v>3000000</v>
      </c>
      <c r="AF89">
        <v>50500</v>
      </c>
      <c r="AG89">
        <v>5</v>
      </c>
      <c r="AH89" s="1">
        <v>3.5</v>
      </c>
      <c r="AI89" t="s">
        <v>8</v>
      </c>
      <c r="AJ89" t="s">
        <v>0</v>
      </c>
      <c r="AL89" t="s">
        <v>125</v>
      </c>
      <c r="AM89"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causes_status_weakness]])*100+COUNTA(R89,T89)*5000+COUNTA(_csv247[[#This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1462200</v>
      </c>
      <c r="AN89">
        <v>5</v>
      </c>
    </row>
    <row r="90" spans="1:40" x14ac:dyDescent="0.25">
      <c r="A90">
        <v>37</v>
      </c>
      <c r="B90" t="s">
        <v>13</v>
      </c>
      <c r="C90">
        <v>2500</v>
      </c>
      <c r="D90">
        <v>80</v>
      </c>
      <c r="E90">
        <v>80</v>
      </c>
      <c r="F90">
        <v>4</v>
      </c>
      <c r="G90">
        <v>8</v>
      </c>
      <c r="H90">
        <v>240</v>
      </c>
      <c r="I90" t="s">
        <v>3</v>
      </c>
      <c r="T90" t="s">
        <v>133</v>
      </c>
      <c r="Y90" s="10" t="s">
        <v>133</v>
      </c>
      <c r="Z90" s="2">
        <v>0.15</v>
      </c>
      <c r="AA90" s="2">
        <v>0.5</v>
      </c>
      <c r="AB90" s="2">
        <v>0</v>
      </c>
      <c r="AC90" s="2">
        <v>1</v>
      </c>
      <c r="AD90" s="2">
        <v>0.5</v>
      </c>
      <c r="AE90">
        <v>2000000</v>
      </c>
      <c r="AF90">
        <v>40000</v>
      </c>
      <c r="AG90">
        <v>5</v>
      </c>
      <c r="AH90" s="1">
        <v>3.5</v>
      </c>
      <c r="AI90" t="s">
        <v>1</v>
      </c>
      <c r="AJ90" t="s">
        <v>0</v>
      </c>
      <c r="AL90" t="s">
        <v>125</v>
      </c>
      <c r="AM90"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causes_status_weakness]])*100+COUNTA(R90,T90)*5000+COUNTA(_csv247[[#This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2098430</v>
      </c>
      <c r="AN90">
        <v>5</v>
      </c>
    </row>
    <row r="91" spans="1:40" x14ac:dyDescent="0.25">
      <c r="A91">
        <v>85</v>
      </c>
      <c r="B91" t="s">
        <v>4</v>
      </c>
      <c r="C91">
        <v>2500</v>
      </c>
      <c r="D91">
        <v>90</v>
      </c>
      <c r="E91">
        <v>80</v>
      </c>
      <c r="F91">
        <v>3</v>
      </c>
      <c r="G91">
        <v>3</v>
      </c>
      <c r="H91">
        <v>300</v>
      </c>
      <c r="I91" t="s">
        <v>3</v>
      </c>
      <c r="Z91" s="2">
        <v>1</v>
      </c>
      <c r="AA91" s="2">
        <v>0</v>
      </c>
      <c r="AB91" s="2">
        <v>0</v>
      </c>
      <c r="AC91" s="2">
        <v>0</v>
      </c>
      <c r="AD91" s="2">
        <v>0</v>
      </c>
      <c r="AE91">
        <v>3000000</v>
      </c>
      <c r="AF91">
        <v>400000</v>
      </c>
      <c r="AG91">
        <v>5</v>
      </c>
      <c r="AH91" s="1">
        <v>3.5</v>
      </c>
      <c r="AI91" t="s">
        <v>1</v>
      </c>
      <c r="AJ91" t="s">
        <v>0</v>
      </c>
      <c r="AK91" t="s">
        <v>119</v>
      </c>
      <c r="AL91" t="s">
        <v>125</v>
      </c>
      <c r="AM91"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causes_status_weakness]])*100+COUNTA(R91,T91)*5000+COUNTA(_csv247[[#This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2311360</v>
      </c>
      <c r="AN91">
        <v>5</v>
      </c>
    </row>
    <row r="92" spans="1:40" x14ac:dyDescent="0.25">
      <c r="A92">
        <v>32</v>
      </c>
      <c r="B92" t="s">
        <v>5</v>
      </c>
      <c r="C92">
        <v>5000</v>
      </c>
      <c r="D92">
        <v>60</v>
      </c>
      <c r="E92">
        <v>75</v>
      </c>
      <c r="F92">
        <v>12</v>
      </c>
      <c r="G92">
        <v>12</v>
      </c>
      <c r="H92">
        <v>144</v>
      </c>
      <c r="I92" t="s">
        <v>3</v>
      </c>
      <c r="L92" t="s">
        <v>133</v>
      </c>
      <c r="Z92" s="2">
        <v>0.1</v>
      </c>
      <c r="AA92" s="2">
        <v>1</v>
      </c>
      <c r="AB92" s="2">
        <v>0</v>
      </c>
      <c r="AC92" s="2">
        <v>0</v>
      </c>
      <c r="AD92" s="2">
        <v>0.5</v>
      </c>
      <c r="AE92">
        <v>4000000</v>
      </c>
      <c r="AF92">
        <v>51000</v>
      </c>
      <c r="AG92">
        <v>5</v>
      </c>
      <c r="AH92" s="1">
        <v>3.5</v>
      </c>
      <c r="AI92" t="s">
        <v>1</v>
      </c>
      <c r="AJ92" t="s">
        <v>0</v>
      </c>
      <c r="AL92" t="s">
        <v>125</v>
      </c>
      <c r="AM92" s="6">
        <f>(_csv247[[#This Row],[entity 1:
health]]*_csv247[[#This Row],[entity 2:
armor]]+_csv247[[#This Row],[entity 1:
health]]*SUM(_csv247[[#This Row],[entity 10:
res_magic]:[entity 14:
res_poison]]))*10+_csv247[[#This Row],[entity 3:
speed]]*_csv247[[#This Row],[entity 4:
no_of_attacks (Melee only)]]*AVERAGE(_csv247[[#This Row],[entity 5:
damage_min]:[entity 6:
damage_max]])+COUNTA(_csv247[[#This Row],[entity 8a: 
ranged attack]:[entity 8h: 
causes_status_weakness]])*100+COUNTA(R92,T92)*5000+COUNTA(_csv247[[#This Row],[entity 8i: 
causes_status_death]])*33333+COUNTA(_csv247[[#This Row],[entity 8k: 
causes_status_eradication]])*100000+COUNTA(_csv247[[#This Row],[entity 8n: 
increases_magical_age_by_1_year_on_hit]])*4000+_csv247[[#This Row],[entity 8l: 
regeneration_per_turn_in_percent_of total_life]]*100000+_csv247[[#This Row],[entity 8m: 
steal_mana_on_hit_in_percent_of_characters_max_mana]]*50000</f>
        <v>3150300</v>
      </c>
      <c r="AN92">
        <v>5</v>
      </c>
    </row>
  </sheetData>
  <phoneticPr fontId="1" type="noConversion"/>
  <conditionalFormatting sqref="Z2:AD92">
    <cfRule type="colorScale" priority="1">
      <colorScale>
        <cfvo type="min"/>
        <cfvo type="percentile" val="50"/>
        <cfvo type="max"/>
        <color rgb="FF63BE7B"/>
        <color rgb="FFFFEB84"/>
        <color rgb="FFF8696B"/>
      </colorScale>
    </cfRule>
    <cfRule type="cellIs" dxfId="0" priority="2" operator="equal">
      <formula>1</formula>
    </cfRule>
  </conditionalFormatting>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D8B9-56E8-437B-A932-420DD7569958}">
  <dimension ref="A1:C2"/>
  <sheetViews>
    <sheetView workbookViewId="0">
      <selection activeCell="C2" sqref="C2"/>
    </sheetView>
  </sheetViews>
  <sheetFormatPr baseColWidth="10" defaultRowHeight="15" x14ac:dyDescent="0.25"/>
  <cols>
    <col min="1" max="1" width="14.42578125" customWidth="1"/>
    <col min="2" max="2" width="17.85546875" bestFit="1" customWidth="1"/>
    <col min="3" max="3" width="17.140625" bestFit="1" customWidth="1"/>
  </cols>
  <sheetData>
    <row r="1" spans="1:3" x14ac:dyDescent="0.25">
      <c r="A1" t="s">
        <v>151</v>
      </c>
      <c r="B1" t="s">
        <v>152</v>
      </c>
      <c r="C1" t="s">
        <v>153</v>
      </c>
    </row>
    <row r="2" spans="1:3" x14ac:dyDescent="0.25">
      <c r="A2" t="s">
        <v>149</v>
      </c>
      <c r="B2" t="s">
        <v>150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2E9-B735-4F79-89CA-C6638131866F}">
  <dimension ref="A1:B1"/>
  <sheetViews>
    <sheetView workbookViewId="0">
      <selection activeCell="B1" sqref="B1"/>
    </sheetView>
  </sheetViews>
  <sheetFormatPr baseColWidth="10" defaultRowHeight="15" x14ac:dyDescent="0.25"/>
  <cols>
    <col min="1" max="1" width="2" bestFit="1" customWidth="1"/>
    <col min="2" max="2" width="91.85546875" customWidth="1"/>
  </cols>
  <sheetData>
    <row r="1" spans="1:2" x14ac:dyDescent="0.25">
      <c r="A1">
        <v>1</v>
      </c>
      <c r="B1" t="s">
        <v>154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Monster</vt:lpstr>
      <vt:lpstr>Tabelle5</vt:lpstr>
      <vt:lpstr>golden_rules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Power</dc:creator>
  <cp:lastModifiedBy>Max Power</cp:lastModifiedBy>
  <dcterms:created xsi:type="dcterms:W3CDTF">2026-10-21T12:30:45Z</dcterms:created>
  <dcterms:modified xsi:type="dcterms:W3CDTF">2026-10-30T17:23:14Z</dcterms:modified>
</cp:coreProperties>
</file>